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jstm/Downloads/"/>
    </mc:Choice>
  </mc:AlternateContent>
  <xr:revisionPtr revIDLastSave="0" documentId="13_ncr:1_{B78362B5-9503-FC43-A7B4-BC2E3E98A413}" xr6:coauthVersionLast="47" xr6:coauthVersionMax="47" xr10:uidLastSave="{00000000-0000-0000-0000-000000000000}"/>
  <bookViews>
    <workbookView xWindow="0" yWindow="620" windowWidth="28800" windowHeight="16200" activeTab="7" xr2:uid="{00000000-000D-0000-FFFF-FFFF00000000}"/>
  </bookViews>
  <sheets>
    <sheet name="Garde" sheetId="1" r:id="rId1"/>
    <sheet name="Identification" sheetId="2" r:id="rId2"/>
    <sheet name="Sprint 1" sheetId="3" r:id="rId3"/>
    <sheet name="Burndown Sprint 1" sheetId="4" r:id="rId4"/>
    <sheet name="Sprint 2" sheetId="5" r:id="rId5"/>
    <sheet name="Burndown Sprint 2" sheetId="8" r:id="rId6"/>
    <sheet name="Sprint 3" sheetId="7" r:id="rId7"/>
    <sheet name="Sprint 4" sheetId="10" r:id="rId8"/>
    <sheet name="Burndown Sprint 3" sheetId="9" r:id="rId9"/>
    <sheet name="Auto-évaluation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0" l="1"/>
  <c r="E31" i="10"/>
  <c r="F29" i="3"/>
  <c r="E29" i="3"/>
</calcChain>
</file>

<file path=xl/sharedStrings.xml><?xml version="1.0" encoding="utf-8"?>
<sst xmlns="http://schemas.openxmlformats.org/spreadsheetml/2006/main" count="485" uniqueCount="239">
  <si>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</si>
  <si>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</si>
  <si>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</si>
  <si>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</si>
  <si>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</si>
  <si>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</si>
  <si>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</si>
  <si>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</si>
  <si>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</si>
  <si>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</si>
  <si>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</si>
  <si>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Abdelhadi MOUMOU, Karam DHIFI, Kephren BIBANG, Jason DAHMOUN, Julie SAINT MARTIN, Mathis PENAGOS, Stive GAMY</t>
  </si>
  <si>
    <t>Sprint concerné</t>
  </si>
  <si>
    <t>Sprint 1</t>
  </si>
  <si>
    <t>Version</t>
  </si>
  <si>
    <t>v2.0</t>
  </si>
  <si>
    <t>Date de remise</t>
  </si>
  <si>
    <t>30/06/2026 09h00</t>
  </si>
  <si>
    <t>Statut</t>
  </si>
  <si>
    <t>Draft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</si>
  <si>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</si>
  <si>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</si>
  <si>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</si>
  <si>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</si>
  <si>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</si>
  <si>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</si>
  <si>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Date</t>
  </si>
  <si>
    <t>Lundi [29/06/2026, 14h00 à 18h00 (4 h)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</si>
  <si>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</si>
  <si>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</si>
  <si>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</si>
  <si>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</si>
  <si>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</si>
  <si>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</si>
  <si>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</si>
  <si>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</si>
  <si>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</si>
  <si>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Jason</t>
  </si>
  <si>
    <t>Product Owner</t>
  </si>
  <si>
    <t>Abdelhadi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</si>
  <si>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</si>
  <si>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</si>
  <si>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</si>
  <si>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</si>
  <si>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</si>
  <si>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</si>
  <si>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</si>
  <si>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</si>
  <si>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</si>
  <si>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</si>
  <si>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</si>
  <si>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</si>
  <si>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</si>
  <si>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</si>
  <si>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</si>
  <si>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</si>
  <si>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</si>
  <si>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Todo</t>
  </si>
  <si>
    <t>T-01.2</t>
  </si>
  <si>
    <t>Sérialiseur DRF + endpoint POST /api/signup avec validation email + mdp ≥ 8 car</t>
  </si>
  <si>
    <t>Karam</t>
  </si>
  <si>
    <t>T-01.3</t>
  </si>
  <si>
    <t>Page React /signup (formulaire + validation client + appel API + redirect)</t>
  </si>
  <si>
    <t>Kephren</t>
  </si>
  <si>
    <t>T-01.4</t>
  </si>
  <si>
    <t>Tests pytest endpoint + Vitest composant React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</si>
  <si>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</si>
  <si>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</si>
  <si>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</si>
  <si>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</si>
  <si>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</si>
  <si>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Stive</t>
  </si>
  <si>
    <t>T-02.3</t>
  </si>
  <si>
    <t>Endpoint POST /api/courses (texte ≥ 200 car) + validation</t>
  </si>
  <si>
    <t>Julie</t>
  </si>
  <si>
    <t>T-02.4</t>
  </si>
  <si>
    <t>Page React /upload (dropzone + textarea + sélecteur méthode + appel API)</t>
  </si>
  <si>
    <t>Mathis</t>
  </si>
  <si>
    <t>T-02.5</t>
  </si>
  <si>
    <t>Tests pytest + Vitest + ajout README section upload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</si>
  <si>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</si>
  <si>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</si>
  <si>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</si>
  <si>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</si>
  <si>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</si>
  <si>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</si>
  <si>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</si>
  <si>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</si>
  <si>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</si>
  <si>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</si>
  <si>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</si>
  <si>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</si>
  <si>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</si>
  <si>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</si>
  <si>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</si>
  <si>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</si>
  <si>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</si>
  <si>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</si>
  <si>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</si>
  <si>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</si>
  <si>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</si>
  <si>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</si>
  <si>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</si>
  <si>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</si>
  <si>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</si>
  <si>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</si>
  <si>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</si>
  <si>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</si>
  <si>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</si>
  <si>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</si>
  <si>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</si>
  <si>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</si>
  <si>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</si>
  <si>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</si>
  <si>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</si>
  <si>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</si>
  <si>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</si>
  <si>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</si>
  <si>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</si>
  <si>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</si>
  <si>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</si>
  <si>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</si>
  <si>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SPRINT BACKLOG : SPRINT 2</t>
  </si>
  <si>
    <t>Mardi matin 09h00 – 12h30 · 24,5 h-pers · objectif US-03 (F3) + Investigation J2 LLM</t>
  </si>
  <si>
    <t>Sprint 2</t>
  </si>
  <si>
    <t>Mardi 30/06/2026 · 09h00 à 12h30 (3,5 h)</t>
  </si>
  <si>
    <t>7 × 3,5 h = 24,5 h-pers</t>
  </si>
  <si>
    <t>8 SP (US-03) + 4h investigation J2</t>
  </si>
  <si>
    <t>Générer 10 QCM via LLM (US-03 / F3) ET décider du fournisseur LLM suite à la perturbation J2 (latence 45s)</t>
  </si>
  <si>
    <t>Jason DAHMOUN</t>
  </si>
  <si>
    <t>Abdelhadi MOUMOU</t>
  </si>
  <si>
    <t>⚡ INVESTIGATION J2 — Latence LLM (perturbation 10h00)</t>
  </si>
  <si>
    <t>J2</t>
  </si>
  <si>
    <t>T-J2.1</t>
  </si>
  <si>
    <t>Lancer script benchmark-llm.py · 5 runs sur llama3.1:8b + phi3:mini · noter latences p50/p95 et qualité /5</t>
  </si>
  <si>
    <t>T-J2.2</t>
  </si>
  <si>
    <t>Pull modèle phi3:mini dans Ollama Docker + valider génération quiz (5 tests manuels)</t>
  </si>
  <si>
    <t>T-J2.3</t>
  </si>
  <si>
    <t>Mettre à jour .env.example : OLLAMA_MODEL=phi3:mini + commenter la décision (ADR-001)</t>
  </si>
  <si>
    <t>T-J2.4</t>
  </si>
  <si>
    <t>Tests de régression : 3 quiz générés avec phi3:mini · vérifier qualité JSON + 10 questions valides</t>
  </si>
  <si>
    <t>Sous-total J2 · 3,5 h estimées</t>
  </si>
  <si>
    <t>🎯 US-03 — F3 Génération automatique de 10 QCM (MUST · 8 SP)</t>
  </si>
  <si>
    <t>US-03</t>
  </si>
  <si>
    <t>T-03.1</t>
  </si>
  <si>
    <t>Modèles Django Quiz et Question (FK vers Course, texte, options JSON, correct_index) + migration</t>
  </si>
  <si>
    <t>T-03.2</t>
  </si>
  <si>
    <t>Service LLM : intégration phi3:mini via OllamaClient + quiz_prompt.py · validation JSON strict</t>
  </si>
  <si>
    <t>T-03.3</t>
  </si>
  <si>
    <t>Endpoint POST /api/quiz/generate · parsing réponse LLM · gestion erreurs (retry, timeout)</t>
  </si>
  <si>
    <t>T-03.4</t>
  </si>
  <si>
    <t>Page React /quiz · rendu 10 questions · état local des sélections · barre de progression génération</t>
  </si>
  <si>
    <t>T-03.5</t>
  </si>
  <si>
    <t>Tests pytest (mock Ollama) + Vitest interface génération · CI verte</t>
  </si>
  <si>
    <t>Sous-total US-03 · 13 h estimées</t>
  </si>
  <si>
    <t>TOTAL Sprint 2 · 16,5 h estimées · capacité 24,5 h-pers · marge 8 h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</si>
  <si>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</si>
  <si>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</si>
  <si>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</si>
  <si>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</si>
  <si>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</si>
  <si>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</si>
  <si>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☒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</si>
  <si>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</si>
  <si>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</si>
  <si>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</si>
  <si>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</si>
  <si>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</si>
  <si>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</si>
  <si>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</si>
  <si>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</si>
  <si>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</si>
  <si>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SPRINT BACKLOG : SPRINT 3</t>
  </si>
  <si>
    <t>Sprint 3</t>
  </si>
  <si>
    <t>Mercredi 01/07/2026 · 09h00 à 12h30 (3,5 h)</t>
  </si>
  <si>
    <t>⚡ INVESTIGATION J3 — Latence LLM (perturbation 10h00)</t>
  </si>
  <si>
    <t>J3</t>
  </si>
  <si>
    <t>T-J3.1</t>
  </si>
  <si>
    <t>T-J3.2</t>
  </si>
  <si>
    <t>T-J3.3</t>
  </si>
  <si>
    <t>T-J3.4</t>
  </si>
  <si>
    <t>Endpoint REST /api/accounts/me/export/ : Export complet en JSON + génération d'un ZIP contenant les fichiers quiz.json, responses.csv et audit.json</t>
  </si>
  <si>
    <t>Bouton Frontend "Exporter mes données" : Intégration dans la page Profil React, gestion du token d'authentification et déclenchement du téléchargement auto du ZIP.</t>
  </si>
  <si>
    <t>Modèle DataRequest (Audit trail des SAR) : Création de la table en base (User, type de demande, statut [reçue/en cours/répondue], date, hash SHA-256 du ZIP exporté).</t>
  </si>
  <si>
    <t>Tests de non-régression : Écriture des tests d'intégration (Pytest) pour vérifier qu'un utilisateur ne peut pas exporter ou supprimer les données d'un autre utilisateur.</t>
  </si>
  <si>
    <t>Sous-total J3 ·9 h estimées</t>
  </si>
  <si>
    <t>US-04</t>
  </si>
  <si>
    <t>T-04.1</t>
  </si>
  <si>
    <t>Modèle Django UserResponse pour stocker les choix de l'étudiant + endpoint POST /api/quiz/&lt;id&gt;/submit</t>
  </si>
  <si>
    <t>T-04.2</t>
  </si>
  <si>
    <t>Algorithme backend de vérification automatique des réponses et calcul de la note brute sur 10</t>
  </si>
  <si>
    <t>T-04.3</t>
  </si>
  <si>
    <t>Liaison front-end du bouton "Soumettre" (payload JSON des 10 choix de l'étudiant) + redirection auto</t>
  </si>
  <si>
    <t>T-04.4</t>
  </si>
  <si>
    <t>Tests d'intégration API de soumission et vérification des cas limites (quiz incomplet, réponses vides)</t>
  </si>
  <si>
    <t>T-J3.5</t>
  </si>
  <si>
    <t>Ajouter une Politique de rétention dans la page Confidentialité</t>
  </si>
  <si>
    <t>Trajectoire des heures restantes mardi 14h00 → 18h00 (sprint de 4h)</t>
  </si>
  <si>
    <t>Le BURNDOWN trace les h-pers restantes au cours du sprint (descendant). Burnup = livré cumulé (montant). Pour 2 sprint court, burndown est plus actionnable.</t>
  </si>
  <si>
    <t>BURNDOWN : SPRINT 2</t>
  </si>
  <si>
    <t>16.5</t>
  </si>
  <si>
    <t>3.5</t>
  </si>
  <si>
    <t>1.5</t>
  </si>
  <si>
    <t>BURNDOWN : SPRINT 3</t>
  </si>
  <si>
    <t>Trajectoire des heures restantes mercredi 14h00 → 18h00 (sprint de 4h)</t>
  </si>
  <si>
    <t>13.5</t>
  </si>
  <si>
    <t>’</t>
  </si>
  <si>
    <t>TOTAL Sprint 3 · 16 h estimées · capacité 24,5 h-pers · marge 8 h</t>
  </si>
  <si>
    <t>Sous-total US-04 · 6 h estimées</t>
  </si>
  <si>
    <t>Mercredi matin 09h00 – 12h30 · 24,5 h-pers · objectif US-04 + Investigation J3</t>
  </si>
  <si>
    <t>Soumission d'un quiz (US-04) ET application en conformité RGPD suite à la perturbation J3</t>
  </si>
  <si>
    <t>Assurer la conformité étatique (RGAA/i18n) et la scalabilité de la plateforme face à l'afflux national de lycéens.</t>
  </si>
  <si>
    <t>Axe 1 : Accessibilité (RGAA)</t>
  </si>
  <si>
    <t>Gestion de la navigation complète au clavier (Focus visible, tabulations)</t>
  </si>
  <si>
    <t>Refonte des contrastes de couleur et injection des attributs Aria sur les formulaires de quiz</t>
  </si>
  <si>
    <t>Intégration d'un outil d'audit automatisé (comme axe-core ou lighthouses en CI) pour empêcher la livraison d'une page non accessible</t>
  </si>
  <si>
    <t>Axe 2 : Internationalisation (i18n)</t>
  </si>
  <si>
    <t>US-21</t>
  </si>
  <si>
    <t>Configuration de react-i18next et extraction des textes dans des fichiers JSON (fr.json, es.json)</t>
  </si>
  <si>
    <t>T-21.1</t>
  </si>
  <si>
    <t>US-22</t>
  </si>
  <si>
    <t>Adaptation du system prompt pour forcer Ollama à générer le quiz dans la langue sélectionnée par l'élève</t>
  </si>
  <si>
    <t>T-22.1</t>
  </si>
  <si>
    <t>Configuration d'une couche de cache Redis sur Django pour soulager la base de données</t>
  </si>
  <si>
    <t>Séparation nette des conteneurs (Web, API, LLM) pour préparer l'autoscaling</t>
  </si>
  <si>
    <t>Écriture d'un système de Fallback basculant sur une API Cloud externe si l'instance Ollama locale s'effondre sous la charge</t>
  </si>
  <si>
    <t>US-23</t>
  </si>
  <si>
    <t>US-24</t>
  </si>
  <si>
    <t>T-23.1</t>
  </si>
  <si>
    <t>T-23.2</t>
  </si>
  <si>
    <t>T-24.1</t>
  </si>
  <si>
    <t>18,5 h estimées · capacité 28 h-pers · marge 12 h pour onboarding, pair-programming, setup</t>
  </si>
  <si>
    <t>Axe 3 : Scalabilité</t>
  </si>
  <si>
    <t>Sprint 4</t>
  </si>
  <si>
    <t>US-25</t>
  </si>
  <si>
    <t>US-26</t>
  </si>
  <si>
    <t>T-25.1</t>
  </si>
  <si>
    <t>T-25.2</t>
  </si>
  <si>
    <t>T-26.1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</si>
</sst>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1"/>
      <color rgb="FF1E1B4B"/>
      <name val="Calibri"/>
    </font>
    <font>
      <b/>
      <sz val="10"/>
      <color rgb="FF475569"/>
      <name val="Calibri"/>
    </font>
    <font>
      <b/>
      <sz val="10"/>
      <color rgb="FFB45309"/>
      <name val="Calibri"/>
    </font>
    <font>
      <sz val="10"/>
      <color rgb="FF1E1B4B"/>
      <name val="Calibri"/>
      <family val="2"/>
    </font>
    <font>
      <sz val="8"/>
      <name val="Calibri"/>
      <family val="2"/>
      <scheme val="minor"/>
    </font>
    <font>
      <i/>
      <sz val="11"/>
      <color rgb="FF475569"/>
      <name val="Calibri"/>
      <family val="2"/>
    </font>
    <font>
      <i/>
      <sz val="10"/>
      <color rgb="FF475569"/>
      <name val="Calibri"/>
      <family val="2"/>
    </font>
    <font>
      <b/>
      <sz val="14"/>
      <color rgb="FF1E40AF"/>
      <name val="Calibri"/>
    </font>
    <font>
      <i/>
      <sz val="11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854D0E"/>
      <name val="Calibri"/>
    </font>
    <font>
      <b/>
      <sz val="10"/>
      <color rgb="FF1E1B4B"/>
      <name val="Calibri"/>
      <family val="2"/>
    </font>
    <font>
      <b/>
      <sz val="10"/>
      <name val="Calibri"/>
      <family val="2"/>
    </font>
    <font>
      <i/>
      <sz val="11"/>
      <name val="Calibri"/>
      <family val="2"/>
    </font>
    <font>
      <b/>
      <sz val="18"/>
      <color rgb="FF1E1B4B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4F46E5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CCCCCC"/>
      </top>
      <bottom style="thin">
        <color rgb="FF94A3B8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9" fillId="6" borderId="2" xfId="0" applyFont="1" applyFill="1" applyBorder="1"/>
    <xf numFmtId="0" fontId="0" fillId="6" borderId="2" xfId="0" applyFill="1" applyBorder="1"/>
    <xf numFmtId="0" fontId="20" fillId="0" borderId="0" xfId="0" applyFont="1"/>
    <xf numFmtId="0" fontId="21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2" fillId="5" borderId="2" xfId="0" applyFont="1" applyFill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4" fillId="0" borderId="1" xfId="0" applyFont="1" applyBorder="1"/>
    <xf numFmtId="0" fontId="22" fillId="4" borderId="2" xfId="0" applyFont="1" applyFill="1" applyBorder="1" applyAlignment="1">
      <alignment vertical="center" wrapText="1"/>
    </xf>
    <xf numFmtId="0" fontId="25" fillId="6" borderId="2" xfId="0" applyFont="1" applyFill="1" applyBorder="1"/>
    <xf numFmtId="0" fontId="11" fillId="0" borderId="1" xfId="0" applyFont="1" applyBorder="1" applyAlignment="1">
      <alignment horizontal="left"/>
    </xf>
    <xf numFmtId="0" fontId="28" fillId="0" borderId="0" xfId="0" applyFont="1"/>
    <xf numFmtId="0" fontId="30" fillId="7" borderId="0" xfId="0" applyFont="1" applyFill="1" applyAlignment="1">
      <alignment vertical="top" wrapText="1"/>
    </xf>
    <xf numFmtId="0" fontId="29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0" fillId="0" borderId="0" xfId="0"/>
    <xf numFmtId="0" fontId="32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0" fontId="35" fillId="0" borderId="0" xfId="0" applyFont="1"/>
    <xf numFmtId="0" fontId="25" fillId="0" borderId="0" xfId="0" applyFont="1"/>
    <xf numFmtId="0" fontId="28" fillId="10" borderId="0" xfId="0" applyFont="1" applyFill="1"/>
    <xf numFmtId="0" fontId="0" fillId="0" borderId="0" xfId="0"/>
    <xf numFmtId="0" fontId="27" fillId="0" borderId="0" xfId="0" applyFont="1"/>
    <xf numFmtId="0" fontId="29" fillId="0" borderId="0" xfId="0" applyFont="1"/>
    <xf numFmtId="0" fontId="31" fillId="8" borderId="0" xfId="0" applyFont="1" applyFill="1"/>
    <xf numFmtId="0" fontId="28" fillId="0" borderId="0" xfId="0" applyFont="1" applyAlignment="1">
      <alignment vertical="top" wrapText="1"/>
    </xf>
    <xf numFmtId="0" fontId="26" fillId="0" borderId="0" xfId="0" applyFont="1"/>
    <xf numFmtId="0" fontId="30" fillId="9" borderId="0" xfId="0" applyFont="1" applyFill="1"/>
    <xf numFmtId="0" fontId="28" fillId="0" borderId="0" xfId="0" applyFont="1"/>
    <xf numFmtId="0" fontId="33" fillId="0" borderId="0" xfId="0" applyFont="1" applyAlignment="1">
      <alignment vertical="top" wrapText="1"/>
    </xf>
    <xf numFmtId="0" fontId="33" fillId="10" borderId="0" xfId="0" applyFont="1" applyFill="1"/>
    <xf numFmtId="0" fontId="36" fillId="0" borderId="0" xfId="0" applyFont="1"/>
    <xf numFmtId="0" fontId="34" fillId="0" borderId="0" xfId="0" applyFont="1"/>
    <xf numFmtId="0" fontId="18" fillId="3" borderId="3" xfId="0" applyFont="1" applyFill="1" applyBorder="1" applyAlignment="1">
      <alignment horizontal="center" vertical="center" wrapText="1"/>
    </xf>
    <xf numFmtId="0" fontId="37" fillId="3" borderId="3" xfId="0" applyFont="1" applyFill="1" applyBorder="1" applyAlignment="1">
      <alignment horizontal="center" vertical="center" wrapText="1"/>
    </xf>
    <xf numFmtId="0" fontId="3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Burndown - Sprint 1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2680446194225718E-2"/>
          <c:y val="0.30071886847477403"/>
          <c:w val="0.90287510936132986"/>
          <c:h val="0.56423447069116361"/>
        </c:manualLayout>
      </c:layout>
      <c:lineChart>
        <c:grouping val="standard"/>
        <c:varyColors val="0"/>
        <c:ser>
          <c:idx val="0"/>
          <c:order val="0"/>
          <c:tx>
            <c:strRef>
              <c:f>'Burndown Sprint 1'!$B$7</c:f>
              <c:strCache>
                <c:ptCount val="1"/>
                <c:pt idx="0">
                  <c:v>Heure restante (idéal)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'Burndown Sprint 1'!$A$8:$A$12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1'!$B$8:$B$12</c:f>
              <c:numCache>
                <c:formatCode>General</c:formatCode>
                <c:ptCount val="5"/>
                <c:pt idx="0">
                  <c:v>16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7B-394B-8006-995B18D76CEC}"/>
            </c:ext>
          </c:extLst>
        </c:ser>
        <c:ser>
          <c:idx val="1"/>
          <c:order val="1"/>
          <c:tx>
            <c:strRef>
              <c:f>'Burndown Sprint 1'!$C$7</c:f>
              <c:strCache>
                <c:ptCount val="1"/>
                <c:pt idx="0">
                  <c:v>Heure restante (réel)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'Burndown Sprint 1'!$A$8:$A$12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1'!$C$8:$C$12</c:f>
              <c:numCache>
                <c:formatCode>General</c:formatCode>
                <c:ptCount val="5"/>
                <c:pt idx="0">
                  <c:v>16</c:v>
                </c:pt>
                <c:pt idx="1">
                  <c:v>13</c:v>
                </c:pt>
                <c:pt idx="2">
                  <c:v>10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7B-394B-8006-995B18D76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391744"/>
        <c:axId val="780805264"/>
      </c:lineChart>
      <c:catAx>
        <c:axId val="78039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805264"/>
        <c:crosses val="autoZero"/>
        <c:auto val="1"/>
        <c:lblAlgn val="ctr"/>
        <c:lblOffset val="100"/>
        <c:noMultiLvlLbl val="0"/>
      </c:catAx>
      <c:valAx>
        <c:axId val="7808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3917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Sprint 2'!$A$10</c:f>
              <c:strCache>
                <c:ptCount val="1"/>
                <c:pt idx="0">
                  <c:v>16h00, Mi-sprint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'Burndown Sprint 2'!$B$8:$D$9</c:f>
              <c:multiLvlStrCache>
                <c:ptCount val="3"/>
                <c:lvl>
                  <c:pt idx="0">
                    <c:v>12</c:v>
                  </c:pt>
                  <c:pt idx="1">
                    <c:v>13.5</c:v>
                  </c:pt>
                  <c:pt idx="2">
                    <c:v>1.5</c:v>
                  </c:pt>
                </c:lvl>
                <c:lvl>
                  <c:pt idx="0">
                    <c:v>16.5</c:v>
                  </c:pt>
                  <c:pt idx="1">
                    <c:v>16.5</c:v>
                  </c:pt>
                  <c:pt idx="2">
                    <c:v>0</c:v>
                  </c:pt>
                </c:lvl>
              </c:multiLvlStrCache>
            </c:multiLvlStrRef>
          </c:cat>
          <c:val>
            <c:numRef>
              <c:f>'Burndown Sprint 2'!$B$10:$D$10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2-1D49-9172-F5226660012E}"/>
            </c:ext>
          </c:extLst>
        </c:ser>
        <c:ser>
          <c:idx val="1"/>
          <c:order val="1"/>
          <c:tx>
            <c:strRef>
              <c:f>'Burndown Sprint 2'!$A$11</c:f>
              <c:strCache>
                <c:ptCount val="1"/>
                <c:pt idx="0">
                  <c:v>17h00, Avant clôture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'Burndown Sprint 2'!$B$8:$D$9</c:f>
              <c:multiLvlStrCache>
                <c:ptCount val="3"/>
                <c:lvl>
                  <c:pt idx="0">
                    <c:v>12</c:v>
                  </c:pt>
                  <c:pt idx="1">
                    <c:v>13.5</c:v>
                  </c:pt>
                  <c:pt idx="2">
                    <c:v>1.5</c:v>
                  </c:pt>
                </c:lvl>
                <c:lvl>
                  <c:pt idx="0">
                    <c:v>16.5</c:v>
                  </c:pt>
                  <c:pt idx="1">
                    <c:v>16.5</c:v>
                  </c:pt>
                  <c:pt idx="2">
                    <c:v>0</c:v>
                  </c:pt>
                </c:lvl>
              </c:multiLvlStrCache>
            </c:multiLvlStrRef>
          </c:cat>
          <c:val>
            <c:numRef>
              <c:f>'Burndown Sprint 2'!$B$11:$D$11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2-1D49-9172-F5226660012E}"/>
            </c:ext>
          </c:extLst>
        </c:ser>
        <c:ser>
          <c:idx val="2"/>
          <c:order val="2"/>
          <c:tx>
            <c:strRef>
              <c:f>'Burndown Sprint 2'!$A$12</c:f>
              <c:strCache>
                <c:ptCount val="1"/>
                <c:pt idx="0">
                  <c:v>18h00, Fin sprint / Review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'Burndown Sprint 2'!$B$8:$D$9</c:f>
              <c:multiLvlStrCache>
                <c:ptCount val="3"/>
                <c:lvl>
                  <c:pt idx="0">
                    <c:v>12</c:v>
                  </c:pt>
                  <c:pt idx="1">
                    <c:v>13.5</c:v>
                  </c:pt>
                  <c:pt idx="2">
                    <c:v>1.5</c:v>
                  </c:pt>
                </c:lvl>
                <c:lvl>
                  <c:pt idx="0">
                    <c:v>16.5</c:v>
                  </c:pt>
                  <c:pt idx="1">
                    <c:v>16.5</c:v>
                  </c:pt>
                  <c:pt idx="2">
                    <c:v>0</c:v>
                  </c:pt>
                </c:lvl>
              </c:multiLvlStrCache>
            </c:multiLvlStrRef>
          </c:cat>
          <c:val>
            <c:numRef>
              <c:f>'Burndown Sprint 2'!$B$12:$D$12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A2-1D49-9172-F52266600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324864"/>
        <c:axId val="579319120"/>
      </c:lineChart>
      <c:catAx>
        <c:axId val="57932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9319120"/>
        <c:crosses val="autoZero"/>
        <c:auto val="1"/>
        <c:lblAlgn val="ctr"/>
        <c:lblOffset val="100"/>
        <c:noMultiLvlLbl val="0"/>
      </c:catAx>
      <c:valAx>
        <c:axId val="57931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932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Burndown</a:t>
            </a:r>
            <a:r>
              <a:rPr lang="fr-FR" baseline="0"/>
              <a:t> Sprint 3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Idéal</c:v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'Burndown Sprint 3'!$A$8:$A$12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3'!$B$8:$B$12</c:f>
              <c:numCache>
                <c:formatCode>General</c:formatCode>
                <c:ptCount val="5"/>
                <c:pt idx="0">
                  <c:v>16</c:v>
                </c:pt>
                <c:pt idx="1">
                  <c:v>11</c:v>
                </c:pt>
                <c:pt idx="2">
                  <c:v>7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A9-874F-8936-3E36BA4C226B}"/>
            </c:ext>
          </c:extLst>
        </c:ser>
        <c:ser>
          <c:idx val="1"/>
          <c:order val="1"/>
          <c:tx>
            <c:v>Réel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'Burndown Sprint 3'!$A$8:$A$12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3'!$C$8:$C$12</c:f>
              <c:numCache>
                <c:formatCode>General</c:formatCode>
                <c:ptCount val="5"/>
                <c:pt idx="0">
                  <c:v>16</c:v>
                </c:pt>
                <c:pt idx="1">
                  <c:v>12</c:v>
                </c:pt>
                <c:pt idx="2">
                  <c:v>9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9-874F-8936-3E36BA4C2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994832"/>
        <c:axId val="1076426752"/>
      </c:lineChart>
      <c:catAx>
        <c:axId val="14169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6426752"/>
        <c:crosses val="autoZero"/>
        <c:auto val="1"/>
        <c:lblAlgn val="ctr"/>
        <c:lblOffset val="100"/>
        <c:noMultiLvlLbl val="0"/>
      </c:catAx>
      <c:valAx>
        <c:axId val="107642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69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565150</xdr:colOff>
      <xdr:row>3</xdr:row>
      <xdr:rowOff>38100</xdr:rowOff>
    </xdr:from>
    <xdr:to>
      <xdr:col>13</xdr:col>
      <xdr:colOff>425450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3</xdr:row>
      <xdr:rowOff>101600</xdr:rowOff>
    </xdr:from>
    <xdr:to>
      <xdr:col>13</xdr:col>
      <xdr:colOff>590550</xdr:colOff>
      <xdr:row>14</xdr:row>
      <xdr:rowOff>101600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9F32432-CDB1-484E-B0A8-DDDC6C801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82550</xdr:colOff>
      <xdr:row>3</xdr:row>
      <xdr:rowOff>152400</xdr:rowOff>
    </xdr:from>
    <xdr:to>
      <xdr:col>13</xdr:col>
      <xdr:colOff>615950</xdr:colOff>
      <xdr:row>14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B00F961-CDEC-3049-B301-AEBBB2C85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2" workbookViewId="0"/>
  </sheetViews>
  <sheetFormatPr baseColWidth="10" defaultColWidth="8.83203125" defaultRowHeight="15" x14ac:dyDescent="0.2"/>
  <cols>
    <col min="1" max="1" width="4" customWidth="1"/>
    <col min="2" max="2" width="90" customWidth="1"/>
  </cols>
  <sheetData>
    <row r="2" spans="2:2" ht="92" customHeight="1" x14ac:dyDescent="1">
      <c r="B2" s="1" t="s">
        <v>0</v>
      </c>
    </row>
    <row r="4" spans="2:2" ht="19" customHeight="1" x14ac:dyDescent="0.25">
      <c r="B4" s="2" t="s">
        <v>1</v>
      </c>
    </row>
    <row r="8" spans="2:2" x14ac:dyDescent="0.2">
      <c r="B8" s="3" t="s">
        <v>2</v>
      </c>
    </row>
    <row r="10" spans="2:2" ht="31" customHeight="1" x14ac:dyDescent="0.35">
      <c r="B10" s="4" t="s">
        <v>3</v>
      </c>
    </row>
    <row r="12" spans="2:2" ht="16" customHeight="1" x14ac:dyDescent="0.2">
      <c r="B12" s="5" t="s">
        <v>4</v>
      </c>
    </row>
    <row r="20" spans="2:2" x14ac:dyDescent="0.2">
      <c r="B20" s="6" t="s">
        <v>5</v>
      </c>
    </row>
    <row r="21" spans="2:2" x14ac:dyDescent="0.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0" sqref="C10"/>
    </sheetView>
  </sheetViews>
  <sheetFormatPr baseColWidth="10" defaultColWidth="8.83203125" defaultRowHeight="15" x14ac:dyDescent="0.2"/>
  <cols>
    <col min="1" max="1" width="2" customWidth="1"/>
    <col min="2" max="2" width="25" customWidth="1"/>
    <col min="3" max="3" width="60" customWidth="1"/>
  </cols>
  <sheetData>
    <row r="2" spans="2:3" ht="16" customHeight="1" x14ac:dyDescent="0.2">
      <c r="B2" s="8" t="s">
        <v>7</v>
      </c>
    </row>
    <row r="3" spans="2:3" x14ac:dyDescent="0.2">
      <c r="B3" s="9" t="s">
        <v>8</v>
      </c>
    </row>
    <row r="5" spans="2:3" ht="22" customHeight="1" x14ac:dyDescent="0.2">
      <c r="B5" s="10" t="s">
        <v>9</v>
      </c>
      <c r="C5" s="37">
        <v>17</v>
      </c>
    </row>
    <row r="6" spans="2:3" ht="22" customHeight="1" x14ac:dyDescent="0.2">
      <c r="B6" s="10" t="s">
        <v>10</v>
      </c>
      <c r="C6" s="34" t="s">
        <v>11</v>
      </c>
    </row>
    <row r="7" spans="2:3" ht="22" customHeight="1" x14ac:dyDescent="0.2">
      <c r="B7" s="10" t="s">
        <v>12</v>
      </c>
      <c r="C7" s="34" t="s">
        <v>13</v>
      </c>
    </row>
    <row r="8" spans="2:3" ht="22" customHeight="1" x14ac:dyDescent="0.2">
      <c r="B8" s="10" t="s">
        <v>14</v>
      </c>
      <c r="C8" s="34" t="s">
        <v>15</v>
      </c>
    </row>
    <row r="9" spans="2:3" ht="22" customHeight="1" x14ac:dyDescent="0.2">
      <c r="B9" s="10" t="s">
        <v>16</v>
      </c>
      <c r="C9" s="34" t="s">
        <v>17</v>
      </c>
    </row>
    <row r="10" spans="2:3" ht="22" customHeight="1" x14ac:dyDescent="0.2">
      <c r="B10" s="10" t="s">
        <v>18</v>
      </c>
      <c r="C10" s="34" t="s">
        <v>19</v>
      </c>
    </row>
    <row r="12" spans="2:3" x14ac:dyDescent="0.2">
      <c r="B12" s="11" t="s">
        <v>20</v>
      </c>
    </row>
    <row r="13" spans="2:3" x14ac:dyDescent="0.2">
      <c r="B13" s="7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showGridLines="0" workbookViewId="0">
      <pane ySplit="19" topLeftCell="A20" activePane="bottomLeft" state="frozen"/>
      <selection pane="bottomLeft" sqref="A1:XFD1048576"/>
    </sheetView>
  </sheetViews>
  <sheetFormatPr baseColWidth="10" defaultColWidth="8.83203125" defaultRowHeight="15" x14ac:dyDescent="0.2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4" customHeight="1" x14ac:dyDescent="0.3">
      <c r="A1" s="12" t="s">
        <v>22</v>
      </c>
    </row>
    <row r="2" spans="1:2" x14ac:dyDescent="0.2">
      <c r="A2" s="9" t="s">
        <v>23</v>
      </c>
    </row>
    <row r="4" spans="1:2" ht="16" customHeight="1" x14ac:dyDescent="0.2">
      <c r="A4" s="8" t="s">
        <v>24</v>
      </c>
    </row>
    <row r="5" spans="1:2" ht="22" customHeight="1" x14ac:dyDescent="0.2">
      <c r="A5" s="13" t="s">
        <v>25</v>
      </c>
      <c r="B5" s="14" t="s">
        <v>13</v>
      </c>
    </row>
    <row r="6" spans="1:2" ht="22" customHeight="1" x14ac:dyDescent="0.2">
      <c r="A6" s="13" t="s">
        <v>26</v>
      </c>
      <c r="B6" s="33" t="s">
        <v>27</v>
      </c>
    </row>
    <row r="7" spans="1:2" ht="22" customHeight="1" x14ac:dyDescent="0.2">
      <c r="A7" s="13" t="s">
        <v>28</v>
      </c>
      <c r="B7" s="33" t="s">
        <v>29</v>
      </c>
    </row>
    <row r="8" spans="1:2" ht="22" customHeight="1" x14ac:dyDescent="0.2">
      <c r="A8" s="13" t="s">
        <v>30</v>
      </c>
      <c r="B8" s="14" t="s">
        <v>31</v>
      </c>
    </row>
    <row r="9" spans="1:2" ht="22" customHeight="1" x14ac:dyDescent="0.2">
      <c r="A9" s="13" t="s">
        <v>32</v>
      </c>
      <c r="B9" s="14" t="s">
        <v>33</v>
      </c>
    </row>
    <row r="10" spans="1:2" ht="22" customHeight="1" x14ac:dyDescent="0.2">
      <c r="A10" s="13" t="s">
        <v>34</v>
      </c>
      <c r="B10" s="14" t="s">
        <v>35</v>
      </c>
    </row>
    <row r="11" spans="1:2" ht="22" customHeight="1" x14ac:dyDescent="0.2">
      <c r="A11" s="13" t="s">
        <v>36</v>
      </c>
      <c r="B11" s="33" t="s">
        <v>37</v>
      </c>
    </row>
    <row r="12" spans="1:2" ht="22" customHeight="1" x14ac:dyDescent="0.2">
      <c r="A12" s="13" t="s">
        <v>38</v>
      </c>
      <c r="B12" s="33" t="s">
        <v>39</v>
      </c>
    </row>
    <row r="14" spans="1:2" x14ac:dyDescent="0.2">
      <c r="A14" s="3" t="s">
        <v>40</v>
      </c>
      <c r="B14" s="9" t="s">
        <v>41</v>
      </c>
    </row>
    <row r="15" spans="1:2" x14ac:dyDescent="0.2">
      <c r="A15" s="3" t="s">
        <v>42</v>
      </c>
      <c r="B15" s="9" t="s">
        <v>43</v>
      </c>
    </row>
    <row r="16" spans="1:2" x14ac:dyDescent="0.2">
      <c r="A16" s="15" t="s">
        <v>44</v>
      </c>
      <c r="B16" s="9" t="s">
        <v>45</v>
      </c>
    </row>
    <row r="17" spans="1:7" x14ac:dyDescent="0.2">
      <c r="A17" s="16" t="s">
        <v>46</v>
      </c>
      <c r="B17" s="9" t="s">
        <v>47</v>
      </c>
    </row>
    <row r="19" spans="1:7" ht="16" customHeight="1" x14ac:dyDescent="0.2">
      <c r="A19" s="17" t="s">
        <v>48</v>
      </c>
      <c r="B19" s="17" t="s">
        <v>49</v>
      </c>
      <c r="C19" s="17" t="s">
        <v>50</v>
      </c>
      <c r="D19" s="17" t="s">
        <v>51</v>
      </c>
      <c r="E19" s="17" t="s">
        <v>52</v>
      </c>
      <c r="F19" s="17" t="s">
        <v>53</v>
      </c>
      <c r="G19" s="17" t="s">
        <v>18</v>
      </c>
    </row>
    <row r="20" spans="1:7" ht="30" customHeight="1" x14ac:dyDescent="0.2">
      <c r="A20" s="18" t="s">
        <v>54</v>
      </c>
      <c r="B20" s="18" t="s">
        <v>55</v>
      </c>
      <c r="C20" s="19" t="s">
        <v>56</v>
      </c>
      <c r="D20" s="35" t="s">
        <v>39</v>
      </c>
      <c r="E20" s="20">
        <v>1</v>
      </c>
      <c r="F20" s="20">
        <v>1</v>
      </c>
      <c r="G20" s="19" t="s">
        <v>57</v>
      </c>
    </row>
    <row r="21" spans="1:7" ht="30" customHeight="1" x14ac:dyDescent="0.2">
      <c r="A21" s="18" t="s">
        <v>54</v>
      </c>
      <c r="B21" s="18" t="s">
        <v>58</v>
      </c>
      <c r="C21" s="19" t="s">
        <v>59</v>
      </c>
      <c r="D21" s="35" t="s">
        <v>60</v>
      </c>
      <c r="E21" s="20">
        <v>2</v>
      </c>
      <c r="F21" s="20">
        <v>2</v>
      </c>
      <c r="G21" s="19" t="s">
        <v>57</v>
      </c>
    </row>
    <row r="22" spans="1:7" ht="30" customHeight="1" x14ac:dyDescent="0.2">
      <c r="A22" s="18" t="s">
        <v>54</v>
      </c>
      <c r="B22" s="18" t="s">
        <v>61</v>
      </c>
      <c r="C22" s="19" t="s">
        <v>62</v>
      </c>
      <c r="D22" s="35" t="s">
        <v>63</v>
      </c>
      <c r="E22" s="20">
        <v>3</v>
      </c>
      <c r="F22" s="20">
        <v>3</v>
      </c>
      <c r="G22" s="19" t="s">
        <v>57</v>
      </c>
    </row>
    <row r="23" spans="1:7" ht="30" customHeight="1" x14ac:dyDescent="0.2">
      <c r="A23" s="18" t="s">
        <v>54</v>
      </c>
      <c r="B23" s="18" t="s">
        <v>64</v>
      </c>
      <c r="C23" s="19" t="s">
        <v>65</v>
      </c>
      <c r="D23" s="35" t="s">
        <v>37</v>
      </c>
      <c r="E23" s="20">
        <v>1</v>
      </c>
      <c r="F23" s="20">
        <v>1</v>
      </c>
      <c r="G23" s="19" t="s">
        <v>57</v>
      </c>
    </row>
    <row r="24" spans="1:7" ht="30" customHeight="1" x14ac:dyDescent="0.2">
      <c r="A24" s="21" t="s">
        <v>66</v>
      </c>
      <c r="B24" s="21" t="s">
        <v>67</v>
      </c>
      <c r="C24" s="22" t="s">
        <v>68</v>
      </c>
      <c r="D24" s="22" t="s">
        <v>39</v>
      </c>
      <c r="E24" s="23">
        <v>1</v>
      </c>
      <c r="F24" s="23">
        <v>1</v>
      </c>
      <c r="G24" s="22" t="s">
        <v>57</v>
      </c>
    </row>
    <row r="25" spans="1:7" ht="30" customHeight="1" x14ac:dyDescent="0.2">
      <c r="A25" s="21" t="s">
        <v>66</v>
      </c>
      <c r="B25" s="21" t="s">
        <v>69</v>
      </c>
      <c r="C25" s="22" t="s">
        <v>70</v>
      </c>
      <c r="D25" s="32" t="s">
        <v>71</v>
      </c>
      <c r="E25" s="23">
        <v>3</v>
      </c>
      <c r="F25" s="23">
        <v>3</v>
      </c>
      <c r="G25" s="22" t="s">
        <v>57</v>
      </c>
    </row>
    <row r="26" spans="1:7" ht="30" customHeight="1" x14ac:dyDescent="0.2">
      <c r="A26" s="21" t="s">
        <v>66</v>
      </c>
      <c r="B26" s="21" t="s">
        <v>72</v>
      </c>
      <c r="C26" s="22" t="s">
        <v>73</v>
      </c>
      <c r="D26" s="32" t="s">
        <v>74</v>
      </c>
      <c r="E26" s="23">
        <v>1</v>
      </c>
      <c r="F26" s="23">
        <v>1</v>
      </c>
      <c r="G26" s="22" t="s">
        <v>57</v>
      </c>
    </row>
    <row r="27" spans="1:7" ht="30" customHeight="1" x14ac:dyDescent="0.2">
      <c r="A27" s="21" t="s">
        <v>66</v>
      </c>
      <c r="B27" s="21" t="s">
        <v>75</v>
      </c>
      <c r="C27" s="22" t="s">
        <v>76</v>
      </c>
      <c r="D27" s="32" t="s">
        <v>77</v>
      </c>
      <c r="E27" s="23">
        <v>3</v>
      </c>
      <c r="F27" s="23">
        <v>3</v>
      </c>
      <c r="G27" s="22" t="s">
        <v>57</v>
      </c>
    </row>
    <row r="28" spans="1:7" ht="30" customHeight="1" x14ac:dyDescent="0.2">
      <c r="A28" s="21" t="s">
        <v>66</v>
      </c>
      <c r="B28" s="21" t="s">
        <v>78</v>
      </c>
      <c r="C28" s="22" t="s">
        <v>79</v>
      </c>
      <c r="D28" s="22" t="s">
        <v>37</v>
      </c>
      <c r="E28" s="23">
        <v>1</v>
      </c>
      <c r="F28" s="23">
        <v>1</v>
      </c>
      <c r="G28" s="22" t="s">
        <v>57</v>
      </c>
    </row>
    <row r="29" spans="1:7" x14ac:dyDescent="0.2">
      <c r="A29" s="24" t="s">
        <v>80</v>
      </c>
      <c r="B29" s="25"/>
      <c r="C29" s="36" t="s">
        <v>81</v>
      </c>
      <c r="D29" s="25"/>
      <c r="E29" s="24">
        <f>SUM(E20:E28)</f>
        <v>16</v>
      </c>
      <c r="F29" s="24">
        <f>SUM(F20:F28)</f>
        <v>16</v>
      </c>
      <c r="G29" s="25"/>
    </row>
    <row r="31" spans="1:7" x14ac:dyDescent="0.2">
      <c r="A31" s="3" t="s">
        <v>82</v>
      </c>
    </row>
    <row r="32" spans="1:7" x14ac:dyDescent="0.2">
      <c r="A32" s="26" t="s">
        <v>57</v>
      </c>
      <c r="B32" s="9" t="s">
        <v>83</v>
      </c>
    </row>
    <row r="33" spans="1:2" x14ac:dyDescent="0.2">
      <c r="A33" s="27" t="s">
        <v>84</v>
      </c>
      <c r="B33" s="9" t="s">
        <v>85</v>
      </c>
    </row>
    <row r="34" spans="1:2" x14ac:dyDescent="0.2">
      <c r="A34" s="16" t="s">
        <v>86</v>
      </c>
      <c r="B34" s="9" t="s">
        <v>87</v>
      </c>
    </row>
    <row r="35" spans="1:2" x14ac:dyDescent="0.2">
      <c r="A35" s="15" t="s">
        <v>88</v>
      </c>
      <c r="B35" s="9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selection activeCell="C16" sqref="C16"/>
    </sheetView>
  </sheetViews>
  <sheetFormatPr baseColWidth="10" defaultColWidth="8.83203125" defaultRowHeight="15" x14ac:dyDescent="0.2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4" customHeight="1" x14ac:dyDescent="0.3">
      <c r="A1" s="12" t="s">
        <v>90</v>
      </c>
    </row>
    <row r="2" spans="1:5" x14ac:dyDescent="0.2">
      <c r="A2" s="9" t="s">
        <v>91</v>
      </c>
    </row>
    <row r="4" spans="1:5" x14ac:dyDescent="0.2">
      <c r="A4" s="3" t="s">
        <v>92</v>
      </c>
      <c r="B4" s="9" t="s">
        <v>93</v>
      </c>
    </row>
    <row r="5" spans="1:5" x14ac:dyDescent="0.2">
      <c r="A5" s="3" t="s">
        <v>94</v>
      </c>
      <c r="B5" s="9" t="s">
        <v>95</v>
      </c>
    </row>
    <row r="7" spans="1:5" ht="16" customHeight="1" x14ac:dyDescent="0.2">
      <c r="A7" s="17" t="s">
        <v>96</v>
      </c>
      <c r="B7" s="17" t="s">
        <v>97</v>
      </c>
      <c r="C7" s="17" t="s">
        <v>98</v>
      </c>
      <c r="D7" s="17" t="s">
        <v>99</v>
      </c>
      <c r="E7" s="17" t="s">
        <v>100</v>
      </c>
    </row>
    <row r="8" spans="1:5" ht="25" customHeight="1" x14ac:dyDescent="0.2">
      <c r="A8" s="28" t="s">
        <v>101</v>
      </c>
      <c r="B8" s="29">
        <v>16</v>
      </c>
      <c r="C8" s="29">
        <v>16</v>
      </c>
      <c r="D8" s="29">
        <v>0</v>
      </c>
      <c r="E8" s="14" t="s">
        <v>102</v>
      </c>
    </row>
    <row r="9" spans="1:5" ht="25" customHeight="1" x14ac:dyDescent="0.2">
      <c r="A9" s="28" t="s">
        <v>103</v>
      </c>
      <c r="B9" s="29">
        <v>12</v>
      </c>
      <c r="C9" s="29">
        <v>13</v>
      </c>
      <c r="D9" s="29">
        <v>1</v>
      </c>
      <c r="E9" s="14" t="s">
        <v>104</v>
      </c>
    </row>
    <row r="10" spans="1:5" ht="25" customHeight="1" x14ac:dyDescent="0.2">
      <c r="A10" s="28" t="s">
        <v>105</v>
      </c>
      <c r="B10" s="29">
        <v>8</v>
      </c>
      <c r="C10" s="29">
        <v>10</v>
      </c>
      <c r="D10" s="29">
        <v>2</v>
      </c>
      <c r="E10" s="14" t="s">
        <v>106</v>
      </c>
    </row>
    <row r="11" spans="1:5" ht="25" customHeight="1" x14ac:dyDescent="0.2">
      <c r="A11" s="28" t="s">
        <v>107</v>
      </c>
      <c r="B11" s="29">
        <v>4</v>
      </c>
      <c r="C11" s="29">
        <v>3</v>
      </c>
      <c r="D11" s="29">
        <v>-1</v>
      </c>
      <c r="E11" s="14" t="s">
        <v>108</v>
      </c>
    </row>
    <row r="12" spans="1:5" ht="25" customHeight="1" x14ac:dyDescent="0.2">
      <c r="A12" s="28" t="s">
        <v>109</v>
      </c>
      <c r="B12" s="29">
        <v>0</v>
      </c>
      <c r="C12" s="29">
        <v>0</v>
      </c>
      <c r="D12" s="29">
        <v>0</v>
      </c>
      <c r="E12" s="14" t="s">
        <v>110</v>
      </c>
    </row>
    <row r="15" spans="1:5" x14ac:dyDescent="0.2">
      <c r="A15" s="3" t="s">
        <v>111</v>
      </c>
      <c r="B15" s="7" t="s">
        <v>112</v>
      </c>
    </row>
    <row r="17" spans="1:2" x14ac:dyDescent="0.2">
      <c r="A17" s="3" t="s">
        <v>113</v>
      </c>
    </row>
    <row r="18" spans="1:2" x14ac:dyDescent="0.2">
      <c r="A18" s="15" t="s">
        <v>114</v>
      </c>
      <c r="B18" s="9" t="s">
        <v>115</v>
      </c>
    </row>
    <row r="19" spans="1:2" x14ac:dyDescent="0.2">
      <c r="A19" s="27" t="s">
        <v>116</v>
      </c>
      <c r="B19" s="9" t="s">
        <v>117</v>
      </c>
    </row>
    <row r="20" spans="1:2" x14ac:dyDescent="0.2">
      <c r="A20" s="15" t="s">
        <v>118</v>
      </c>
      <c r="B20" s="9" t="s">
        <v>119</v>
      </c>
    </row>
    <row r="21" spans="1:2" x14ac:dyDescent="0.2">
      <c r="A21" s="16" t="s">
        <v>120</v>
      </c>
      <c r="B21" s="9" t="s">
        <v>121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topLeftCell="A7" workbookViewId="0">
      <selection activeCell="A7" sqref="A7:G29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55" customWidth="1"/>
    <col min="4" max="4" width="16" customWidth="1"/>
    <col min="5" max="5" width="11" customWidth="1"/>
    <col min="6" max="7" width="12" customWidth="1"/>
  </cols>
  <sheetData>
    <row r="1" spans="1:7" ht="19" x14ac:dyDescent="0.25">
      <c r="A1" s="54" t="s">
        <v>122</v>
      </c>
      <c r="B1" s="54"/>
      <c r="C1" s="54"/>
      <c r="D1" s="54"/>
      <c r="E1" s="54"/>
      <c r="F1" s="54"/>
      <c r="G1" s="54"/>
    </row>
    <row r="2" spans="1:7" x14ac:dyDescent="0.2">
      <c r="A2" s="50" t="s">
        <v>123</v>
      </c>
      <c r="B2" s="49"/>
      <c r="C2" s="49"/>
      <c r="D2" s="49"/>
      <c r="E2" s="49"/>
      <c r="F2" s="49"/>
      <c r="G2" s="49"/>
    </row>
    <row r="4" spans="1:7" x14ac:dyDescent="0.2">
      <c r="A4" s="56" t="s">
        <v>24</v>
      </c>
      <c r="B4" s="49"/>
      <c r="C4" s="49"/>
      <c r="D4" s="49"/>
      <c r="E4" s="49"/>
      <c r="F4" s="49"/>
      <c r="G4" s="49"/>
    </row>
    <row r="5" spans="1:7" x14ac:dyDescent="0.2">
      <c r="A5" s="38" t="s">
        <v>25</v>
      </c>
      <c r="B5" s="51" t="s">
        <v>124</v>
      </c>
      <c r="C5" s="49"/>
      <c r="D5" s="49"/>
      <c r="E5" s="49"/>
      <c r="F5" s="49"/>
      <c r="G5" s="49"/>
    </row>
    <row r="6" spans="1:7" x14ac:dyDescent="0.2">
      <c r="A6" s="38" t="s">
        <v>26</v>
      </c>
      <c r="B6" s="51" t="s">
        <v>125</v>
      </c>
      <c r="C6" s="49"/>
      <c r="D6" s="49"/>
      <c r="E6" s="49"/>
      <c r="F6" s="49"/>
      <c r="G6" s="49"/>
    </row>
    <row r="7" spans="1:7" x14ac:dyDescent="0.2">
      <c r="A7" s="38" t="s">
        <v>28</v>
      </c>
      <c r="B7" s="51" t="s">
        <v>29</v>
      </c>
      <c r="C7" s="49"/>
      <c r="D7" s="49"/>
      <c r="E7" s="49"/>
      <c r="F7" s="49"/>
      <c r="G7" s="49"/>
    </row>
    <row r="8" spans="1:7" x14ac:dyDescent="0.2">
      <c r="A8" s="38" t="s">
        <v>30</v>
      </c>
      <c r="B8" s="51" t="s">
        <v>126</v>
      </c>
      <c r="C8" s="49"/>
      <c r="D8" s="49"/>
      <c r="E8" s="49"/>
      <c r="F8" s="49"/>
      <c r="G8" s="49"/>
    </row>
    <row r="9" spans="1:7" x14ac:dyDescent="0.2">
      <c r="A9" s="38" t="s">
        <v>32</v>
      </c>
      <c r="B9" s="51" t="s">
        <v>127</v>
      </c>
      <c r="C9" s="49"/>
      <c r="D9" s="49"/>
      <c r="E9" s="49"/>
      <c r="F9" s="49"/>
      <c r="G9" s="49"/>
    </row>
    <row r="10" spans="1:7" x14ac:dyDescent="0.2">
      <c r="A10" s="38" t="s">
        <v>34</v>
      </c>
      <c r="B10" s="51" t="s">
        <v>128</v>
      </c>
      <c r="C10" s="49"/>
      <c r="D10" s="49"/>
      <c r="E10" s="49"/>
      <c r="F10" s="49"/>
      <c r="G10" s="49"/>
    </row>
    <row r="11" spans="1:7" x14ac:dyDescent="0.2">
      <c r="A11" s="38" t="s">
        <v>36</v>
      </c>
      <c r="B11" s="51" t="s">
        <v>129</v>
      </c>
      <c r="C11" s="49"/>
      <c r="D11" s="49"/>
      <c r="E11" s="49"/>
      <c r="F11" s="49"/>
      <c r="G11" s="49"/>
    </row>
    <row r="12" spans="1:7" x14ac:dyDescent="0.2">
      <c r="A12" s="38" t="s">
        <v>38</v>
      </c>
      <c r="B12" s="51" t="s">
        <v>130</v>
      </c>
      <c r="C12" s="49"/>
      <c r="D12" s="49"/>
      <c r="E12" s="49"/>
      <c r="F12" s="49"/>
      <c r="G12" s="49"/>
    </row>
    <row r="14" spans="1:7" ht="16" x14ac:dyDescent="0.2">
      <c r="A14" s="39" t="s">
        <v>48</v>
      </c>
      <c r="B14" s="39" t="s">
        <v>49</v>
      </c>
      <c r="C14" s="39" t="s">
        <v>50</v>
      </c>
      <c r="D14" s="39" t="s">
        <v>51</v>
      </c>
      <c r="E14" s="39" t="s">
        <v>52</v>
      </c>
      <c r="F14" s="39" t="s">
        <v>53</v>
      </c>
      <c r="G14" s="39" t="s">
        <v>18</v>
      </c>
    </row>
    <row r="15" spans="1:7" x14ac:dyDescent="0.2">
      <c r="A15" s="52" t="s">
        <v>131</v>
      </c>
      <c r="B15" s="49"/>
      <c r="C15" s="49"/>
      <c r="D15" s="49"/>
      <c r="E15" s="49"/>
      <c r="F15" s="49"/>
      <c r="G15" s="49"/>
    </row>
    <row r="16" spans="1:7" ht="30" x14ac:dyDescent="0.2">
      <c r="A16" s="40" t="s">
        <v>132</v>
      </c>
      <c r="B16" s="41" t="s">
        <v>133</v>
      </c>
      <c r="C16" s="40" t="s">
        <v>134</v>
      </c>
      <c r="D16" s="40" t="s">
        <v>60</v>
      </c>
      <c r="E16" s="40">
        <v>1</v>
      </c>
      <c r="F16" s="40">
        <v>1</v>
      </c>
      <c r="G16" s="40" t="s">
        <v>57</v>
      </c>
    </row>
    <row r="17" spans="1:7" ht="30" x14ac:dyDescent="0.2">
      <c r="A17" s="40" t="s">
        <v>132</v>
      </c>
      <c r="B17" s="41" t="s">
        <v>135</v>
      </c>
      <c r="C17" s="40" t="s">
        <v>136</v>
      </c>
      <c r="D17" s="40" t="s">
        <v>39</v>
      </c>
      <c r="E17" s="40">
        <v>1</v>
      </c>
      <c r="F17" s="40">
        <v>1</v>
      </c>
      <c r="G17" s="40" t="s">
        <v>57</v>
      </c>
    </row>
    <row r="18" spans="1:7" ht="30" x14ac:dyDescent="0.2">
      <c r="A18" s="40" t="s">
        <v>132</v>
      </c>
      <c r="B18" s="41" t="s">
        <v>137</v>
      </c>
      <c r="C18" s="40" t="s">
        <v>138</v>
      </c>
      <c r="D18" s="40" t="s">
        <v>71</v>
      </c>
      <c r="E18" s="40">
        <v>0.5</v>
      </c>
      <c r="F18" s="40">
        <v>0.5</v>
      </c>
      <c r="G18" s="40" t="s">
        <v>57</v>
      </c>
    </row>
    <row r="19" spans="1:7" ht="30" x14ac:dyDescent="0.2">
      <c r="A19" s="40" t="s">
        <v>132</v>
      </c>
      <c r="B19" s="41" t="s">
        <v>139</v>
      </c>
      <c r="C19" s="40" t="s">
        <v>140</v>
      </c>
      <c r="D19" s="40" t="s">
        <v>37</v>
      </c>
      <c r="E19" s="40">
        <v>1</v>
      </c>
      <c r="F19" s="40">
        <v>1</v>
      </c>
      <c r="G19" s="40" t="s">
        <v>57</v>
      </c>
    </row>
    <row r="20" spans="1:7" x14ac:dyDescent="0.2">
      <c r="A20" s="53" t="s">
        <v>141</v>
      </c>
      <c r="B20" s="49"/>
      <c r="C20" s="49"/>
      <c r="D20" s="49"/>
      <c r="E20" s="41">
        <v>3.5</v>
      </c>
      <c r="F20" s="41">
        <v>3.5</v>
      </c>
    </row>
    <row r="22" spans="1:7" x14ac:dyDescent="0.2">
      <c r="A22" s="55" t="s">
        <v>142</v>
      </c>
      <c r="B22" s="49"/>
      <c r="C22" s="49"/>
      <c r="D22" s="49"/>
      <c r="E22" s="49"/>
      <c r="F22" s="49"/>
      <c r="G22" s="49"/>
    </row>
    <row r="23" spans="1:7" ht="30" x14ac:dyDescent="0.2">
      <c r="A23" s="40" t="s">
        <v>143</v>
      </c>
      <c r="B23" s="41" t="s">
        <v>144</v>
      </c>
      <c r="C23" s="40" t="s">
        <v>145</v>
      </c>
      <c r="D23" s="40" t="s">
        <v>39</v>
      </c>
      <c r="E23" s="40">
        <v>2</v>
      </c>
      <c r="F23" s="40">
        <v>2</v>
      </c>
      <c r="G23" s="40" t="s">
        <v>57</v>
      </c>
    </row>
    <row r="24" spans="1:7" ht="30" x14ac:dyDescent="0.2">
      <c r="A24" s="40" t="s">
        <v>143</v>
      </c>
      <c r="B24" s="41" t="s">
        <v>146</v>
      </c>
      <c r="C24" s="40" t="s">
        <v>147</v>
      </c>
      <c r="D24" s="40" t="s">
        <v>60</v>
      </c>
      <c r="E24" s="40">
        <v>3</v>
      </c>
      <c r="F24" s="40">
        <v>3</v>
      </c>
      <c r="G24" s="40" t="s">
        <v>57</v>
      </c>
    </row>
    <row r="25" spans="1:7" ht="30" x14ac:dyDescent="0.2">
      <c r="A25" s="40" t="s">
        <v>143</v>
      </c>
      <c r="B25" s="41" t="s">
        <v>148</v>
      </c>
      <c r="C25" s="40" t="s">
        <v>149</v>
      </c>
      <c r="D25" s="40" t="s">
        <v>74</v>
      </c>
      <c r="E25" s="40">
        <v>3</v>
      </c>
      <c r="F25" s="40">
        <v>3</v>
      </c>
      <c r="G25" s="40" t="s">
        <v>57</v>
      </c>
    </row>
    <row r="26" spans="1:7" ht="30" x14ac:dyDescent="0.2">
      <c r="A26" s="40" t="s">
        <v>143</v>
      </c>
      <c r="B26" s="41" t="s">
        <v>150</v>
      </c>
      <c r="C26" s="40" t="s">
        <v>151</v>
      </c>
      <c r="D26" s="40" t="s">
        <v>63</v>
      </c>
      <c r="E26" s="40">
        <v>3</v>
      </c>
      <c r="F26" s="40">
        <v>3</v>
      </c>
      <c r="G26" s="40" t="s">
        <v>57</v>
      </c>
    </row>
    <row r="27" spans="1:7" x14ac:dyDescent="0.2">
      <c r="A27" s="40" t="s">
        <v>143</v>
      </c>
      <c r="B27" s="41" t="s">
        <v>152</v>
      </c>
      <c r="C27" s="40" t="s">
        <v>153</v>
      </c>
      <c r="D27" s="40" t="s">
        <v>37</v>
      </c>
      <c r="E27" s="40">
        <v>2</v>
      </c>
      <c r="F27" s="40">
        <v>2</v>
      </c>
      <c r="G27" s="40" t="s">
        <v>57</v>
      </c>
    </row>
    <row r="28" spans="1:7" x14ac:dyDescent="0.2">
      <c r="A28" s="53" t="s">
        <v>154</v>
      </c>
      <c r="B28" s="49"/>
      <c r="C28" s="49"/>
      <c r="D28" s="49"/>
      <c r="E28" s="41">
        <v>13</v>
      </c>
      <c r="F28" s="41">
        <v>13</v>
      </c>
    </row>
    <row r="29" spans="1:7" x14ac:dyDescent="0.2">
      <c r="A29" s="48" t="s">
        <v>155</v>
      </c>
      <c r="B29" s="49"/>
      <c r="C29" s="49"/>
      <c r="D29" s="49"/>
      <c r="E29" s="38">
        <v>16.5</v>
      </c>
      <c r="F29" s="38">
        <v>16.5</v>
      </c>
    </row>
  </sheetData>
  <mergeCells count="16">
    <mergeCell ref="A1:G1"/>
    <mergeCell ref="B5:G5"/>
    <mergeCell ref="A22:G22"/>
    <mergeCell ref="A20:D20"/>
    <mergeCell ref="B9:G9"/>
    <mergeCell ref="A4:G4"/>
    <mergeCell ref="B8:G8"/>
    <mergeCell ref="A29:D29"/>
    <mergeCell ref="A2:G2"/>
    <mergeCell ref="B12:G12"/>
    <mergeCell ref="A15:G15"/>
    <mergeCell ref="A28:D28"/>
    <mergeCell ref="B7:G7"/>
    <mergeCell ref="B11:G11"/>
    <mergeCell ref="B6:G6"/>
    <mergeCell ref="B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B4B3-AE98-4F4A-A191-A443A249305B}">
  <dimension ref="A1:E21"/>
  <sheetViews>
    <sheetView workbookViewId="0">
      <selection activeCell="H8" sqref="H8"/>
    </sheetView>
  </sheetViews>
  <sheetFormatPr baseColWidth="10" defaultColWidth="8.83203125" defaultRowHeight="15" x14ac:dyDescent="0.2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4" customHeight="1" x14ac:dyDescent="0.3">
      <c r="A1" s="12" t="s">
        <v>199</v>
      </c>
    </row>
    <row r="2" spans="1:5" x14ac:dyDescent="0.2">
      <c r="A2" s="9" t="s">
        <v>197</v>
      </c>
    </row>
    <row r="4" spans="1:5" x14ac:dyDescent="0.2">
      <c r="A4" s="3" t="s">
        <v>92</v>
      </c>
      <c r="B4" s="9" t="s">
        <v>198</v>
      </c>
    </row>
    <row r="5" spans="1:5" x14ac:dyDescent="0.2">
      <c r="A5" s="3" t="s">
        <v>94</v>
      </c>
      <c r="B5" s="9" t="s">
        <v>95</v>
      </c>
    </row>
    <row r="7" spans="1:5" ht="16" customHeight="1" x14ac:dyDescent="0.2">
      <c r="A7" s="17" t="s">
        <v>96</v>
      </c>
      <c r="B7" s="17" t="s">
        <v>97</v>
      </c>
      <c r="C7" s="17" t="s">
        <v>98</v>
      </c>
      <c r="D7" s="17" t="s">
        <v>99</v>
      </c>
      <c r="E7" s="17" t="s">
        <v>100</v>
      </c>
    </row>
    <row r="8" spans="1:5" ht="25" customHeight="1" x14ac:dyDescent="0.2">
      <c r="A8" s="28" t="s">
        <v>101</v>
      </c>
      <c r="B8" s="29" t="s">
        <v>200</v>
      </c>
      <c r="C8" s="29" t="s">
        <v>200</v>
      </c>
      <c r="D8" s="29">
        <v>0</v>
      </c>
      <c r="E8" s="14" t="s">
        <v>102</v>
      </c>
    </row>
    <row r="9" spans="1:5" ht="25" customHeight="1" x14ac:dyDescent="0.2">
      <c r="A9" s="28" t="s">
        <v>103</v>
      </c>
      <c r="B9" s="29">
        <v>12</v>
      </c>
      <c r="C9" s="45" t="s">
        <v>205</v>
      </c>
      <c r="D9" s="45" t="s">
        <v>202</v>
      </c>
      <c r="E9" s="14" t="s">
        <v>104</v>
      </c>
    </row>
    <row r="10" spans="1:5" ht="25" customHeight="1" x14ac:dyDescent="0.2">
      <c r="A10" s="28" t="s">
        <v>105</v>
      </c>
      <c r="B10" s="29">
        <v>8</v>
      </c>
      <c r="C10" s="29">
        <v>9</v>
      </c>
      <c r="D10" s="29">
        <v>1</v>
      </c>
      <c r="E10" s="14" t="s">
        <v>106</v>
      </c>
    </row>
    <row r="11" spans="1:5" ht="25" customHeight="1" x14ac:dyDescent="0.2">
      <c r="A11" s="28" t="s">
        <v>107</v>
      </c>
      <c r="B11" s="29">
        <v>4</v>
      </c>
      <c r="C11" s="45" t="s">
        <v>201</v>
      </c>
      <c r="D11" s="29">
        <v>-1</v>
      </c>
      <c r="E11" s="14" t="s">
        <v>108</v>
      </c>
    </row>
    <row r="12" spans="1:5" ht="25" customHeight="1" x14ac:dyDescent="0.2">
      <c r="A12" s="28" t="s">
        <v>109</v>
      </c>
      <c r="B12" s="29">
        <v>0</v>
      </c>
      <c r="C12" s="29">
        <v>0</v>
      </c>
      <c r="D12" s="29">
        <v>0</v>
      </c>
      <c r="E12" s="14" t="s">
        <v>110</v>
      </c>
    </row>
    <row r="15" spans="1:5" x14ac:dyDescent="0.2">
      <c r="A15" s="3" t="s">
        <v>111</v>
      </c>
      <c r="B15" s="7" t="s">
        <v>112</v>
      </c>
    </row>
    <row r="17" spans="1:2" x14ac:dyDescent="0.2">
      <c r="A17" s="3" t="s">
        <v>113</v>
      </c>
    </row>
    <row r="18" spans="1:2" x14ac:dyDescent="0.2">
      <c r="A18" s="15" t="s">
        <v>114</v>
      </c>
      <c r="B18" s="9" t="s">
        <v>115</v>
      </c>
    </row>
    <row r="19" spans="1:2" x14ac:dyDescent="0.2">
      <c r="A19" s="27" t="s">
        <v>116</v>
      </c>
      <c r="B19" s="9" t="s">
        <v>117</v>
      </c>
    </row>
    <row r="20" spans="1:2" x14ac:dyDescent="0.2">
      <c r="A20" s="15" t="s">
        <v>118</v>
      </c>
      <c r="B20" s="9" t="s">
        <v>119</v>
      </c>
    </row>
    <row r="21" spans="1:2" x14ac:dyDescent="0.2">
      <c r="A21" s="16" t="s">
        <v>120</v>
      </c>
      <c r="B21" s="9" t="s">
        <v>121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AA01-7C68-714D-B652-4AB7D6A75EE9}">
  <dimension ref="A1:G29"/>
  <sheetViews>
    <sheetView topLeftCell="A10" workbookViewId="0">
      <selection sqref="A1:XFD1048576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55" customWidth="1"/>
    <col min="4" max="4" width="16" customWidth="1"/>
    <col min="5" max="5" width="11" customWidth="1"/>
    <col min="6" max="7" width="12" customWidth="1"/>
  </cols>
  <sheetData>
    <row r="1" spans="1:7" ht="19" x14ac:dyDescent="0.25">
      <c r="A1" s="54" t="s">
        <v>172</v>
      </c>
      <c r="B1" s="54"/>
      <c r="C1" s="54"/>
      <c r="D1" s="54"/>
      <c r="E1" s="54"/>
      <c r="F1" s="54"/>
      <c r="G1" s="54"/>
    </row>
    <row r="2" spans="1:7" x14ac:dyDescent="0.2">
      <c r="A2" s="60" t="s">
        <v>209</v>
      </c>
      <c r="B2" s="49"/>
      <c r="C2" s="49"/>
      <c r="D2" s="49"/>
      <c r="E2" s="49"/>
      <c r="F2" s="49"/>
      <c r="G2" s="49"/>
    </row>
    <row r="4" spans="1:7" x14ac:dyDescent="0.2">
      <c r="A4" s="56" t="s">
        <v>24</v>
      </c>
      <c r="B4" s="49"/>
      <c r="C4" s="49"/>
      <c r="D4" s="49"/>
      <c r="E4" s="49"/>
      <c r="F4" s="49"/>
      <c r="G4" s="49"/>
    </row>
    <row r="5" spans="1:7" x14ac:dyDescent="0.2">
      <c r="A5" s="38" t="s">
        <v>25</v>
      </c>
      <c r="B5" s="51" t="s">
        <v>173</v>
      </c>
      <c r="C5" s="49"/>
      <c r="D5" s="49"/>
      <c r="E5" s="49"/>
      <c r="F5" s="49"/>
      <c r="G5" s="49"/>
    </row>
    <row r="6" spans="1:7" x14ac:dyDescent="0.2">
      <c r="A6" s="38" t="s">
        <v>26</v>
      </c>
      <c r="B6" s="51" t="s">
        <v>174</v>
      </c>
      <c r="C6" s="49"/>
      <c r="D6" s="49"/>
      <c r="E6" s="49"/>
      <c r="F6" s="49"/>
      <c r="G6" s="49"/>
    </row>
    <row r="7" spans="1:7" x14ac:dyDescent="0.2">
      <c r="A7" s="38" t="s">
        <v>28</v>
      </c>
      <c r="B7" s="51" t="s">
        <v>29</v>
      </c>
      <c r="C7" s="49"/>
      <c r="D7" s="49"/>
      <c r="E7" s="49"/>
      <c r="F7" s="49"/>
      <c r="G7" s="49"/>
    </row>
    <row r="8" spans="1:7" x14ac:dyDescent="0.2">
      <c r="A8" s="38" t="s">
        <v>30</v>
      </c>
      <c r="B8" s="51" t="s">
        <v>126</v>
      </c>
      <c r="C8" s="49"/>
      <c r="D8" s="49"/>
      <c r="E8" s="49"/>
      <c r="F8" s="49"/>
      <c r="G8" s="49"/>
    </row>
    <row r="9" spans="1:7" x14ac:dyDescent="0.2">
      <c r="A9" s="38" t="s">
        <v>32</v>
      </c>
      <c r="B9" s="51" t="s">
        <v>127</v>
      </c>
      <c r="C9" s="49"/>
      <c r="D9" s="49"/>
      <c r="E9" s="49"/>
      <c r="F9" s="49"/>
      <c r="G9" s="49"/>
    </row>
    <row r="10" spans="1:7" x14ac:dyDescent="0.2">
      <c r="A10" s="38" t="s">
        <v>34</v>
      </c>
      <c r="B10" s="59" t="s">
        <v>210</v>
      </c>
      <c r="C10" s="49"/>
      <c r="D10" s="49"/>
      <c r="E10" s="49"/>
      <c r="F10" s="49"/>
      <c r="G10" s="49"/>
    </row>
    <row r="11" spans="1:7" x14ac:dyDescent="0.2">
      <c r="A11" s="38" t="s">
        <v>36</v>
      </c>
      <c r="B11" s="51" t="s">
        <v>129</v>
      </c>
      <c r="C11" s="49"/>
      <c r="D11" s="49"/>
      <c r="E11" s="49"/>
      <c r="F11" s="49"/>
      <c r="G11" s="49"/>
    </row>
    <row r="12" spans="1:7" x14ac:dyDescent="0.2">
      <c r="A12" s="38" t="s">
        <v>38</v>
      </c>
      <c r="B12" s="51" t="s">
        <v>130</v>
      </c>
      <c r="C12" s="49"/>
      <c r="D12" s="49"/>
      <c r="E12" s="49"/>
      <c r="F12" s="49"/>
      <c r="G12" s="49"/>
    </row>
    <row r="14" spans="1:7" ht="16" x14ac:dyDescent="0.2">
      <c r="A14" s="39" t="s">
        <v>48</v>
      </c>
      <c r="B14" s="39" t="s">
        <v>49</v>
      </c>
      <c r="C14" s="39" t="s">
        <v>50</v>
      </c>
      <c r="D14" s="39" t="s">
        <v>51</v>
      </c>
      <c r="E14" s="39" t="s">
        <v>52</v>
      </c>
      <c r="F14" s="39" t="s">
        <v>53</v>
      </c>
      <c r="G14" s="39" t="s">
        <v>18</v>
      </c>
    </row>
    <row r="15" spans="1:7" x14ac:dyDescent="0.2">
      <c r="A15" s="52" t="s">
        <v>175</v>
      </c>
      <c r="B15" s="49"/>
      <c r="C15" s="49"/>
      <c r="D15" s="49"/>
      <c r="E15" s="49"/>
      <c r="F15" s="49"/>
      <c r="G15" s="49"/>
    </row>
    <row r="16" spans="1:7" ht="30" x14ac:dyDescent="0.2">
      <c r="A16" s="40" t="s">
        <v>176</v>
      </c>
      <c r="B16" s="41" t="s">
        <v>177</v>
      </c>
      <c r="C16" s="40" t="s">
        <v>181</v>
      </c>
      <c r="D16" s="40" t="s">
        <v>74</v>
      </c>
      <c r="E16" s="40">
        <v>3</v>
      </c>
      <c r="F16" s="40">
        <v>3</v>
      </c>
      <c r="G16" s="40" t="s">
        <v>57</v>
      </c>
    </row>
    <row r="17" spans="1:7" ht="45" x14ac:dyDescent="0.2">
      <c r="A17" s="40" t="s">
        <v>176</v>
      </c>
      <c r="B17" s="41" t="s">
        <v>178</v>
      </c>
      <c r="C17" s="40" t="s">
        <v>182</v>
      </c>
      <c r="D17" s="40" t="s">
        <v>77</v>
      </c>
      <c r="E17" s="40">
        <v>2</v>
      </c>
      <c r="F17" s="40">
        <v>2</v>
      </c>
      <c r="G17" s="40" t="s">
        <v>57</v>
      </c>
    </row>
    <row r="18" spans="1:7" ht="45" x14ac:dyDescent="0.2">
      <c r="A18" s="40" t="s">
        <v>176</v>
      </c>
      <c r="B18" s="41" t="s">
        <v>179</v>
      </c>
      <c r="C18" s="40" t="s">
        <v>183</v>
      </c>
      <c r="D18" s="40" t="s">
        <v>71</v>
      </c>
      <c r="E18" s="40">
        <v>2</v>
      </c>
      <c r="F18" s="40">
        <v>2</v>
      </c>
      <c r="G18" s="40" t="s">
        <v>57</v>
      </c>
    </row>
    <row r="19" spans="1:7" x14ac:dyDescent="0.2">
      <c r="A19" s="40" t="s">
        <v>176</v>
      </c>
      <c r="B19" s="41" t="s">
        <v>180</v>
      </c>
      <c r="C19" s="40" t="s">
        <v>196</v>
      </c>
      <c r="D19" s="40" t="s">
        <v>39</v>
      </c>
      <c r="E19" s="40">
        <v>1</v>
      </c>
      <c r="F19" s="40">
        <v>1</v>
      </c>
      <c r="G19" s="40" t="s">
        <v>57</v>
      </c>
    </row>
    <row r="20" spans="1:7" ht="45" x14ac:dyDescent="0.2">
      <c r="A20" s="40" t="s">
        <v>176</v>
      </c>
      <c r="B20" s="41" t="s">
        <v>195</v>
      </c>
      <c r="C20" s="40" t="s">
        <v>184</v>
      </c>
      <c r="D20" s="40" t="s">
        <v>37</v>
      </c>
      <c r="E20" s="40">
        <v>2</v>
      </c>
      <c r="F20" s="40">
        <v>2</v>
      </c>
      <c r="G20" s="40" t="s">
        <v>57</v>
      </c>
    </row>
    <row r="21" spans="1:7" x14ac:dyDescent="0.2">
      <c r="A21" s="53" t="s">
        <v>185</v>
      </c>
      <c r="B21" s="49"/>
      <c r="C21" s="49"/>
      <c r="D21" s="49"/>
      <c r="E21" s="41">
        <v>10</v>
      </c>
      <c r="F21" s="41">
        <v>10</v>
      </c>
    </row>
    <row r="23" spans="1:7" ht="16" customHeight="1" x14ac:dyDescent="0.2">
      <c r="A23" s="17" t="s">
        <v>48</v>
      </c>
      <c r="B23" s="17" t="s">
        <v>49</v>
      </c>
      <c r="C23" s="17" t="s">
        <v>50</v>
      </c>
      <c r="D23" s="17" t="s">
        <v>51</v>
      </c>
      <c r="E23" s="17" t="s">
        <v>52</v>
      </c>
      <c r="F23" s="17" t="s">
        <v>53</v>
      </c>
      <c r="G23" s="17" t="s">
        <v>18</v>
      </c>
    </row>
    <row r="24" spans="1:7" ht="30" x14ac:dyDescent="0.2">
      <c r="A24" s="43" t="s">
        <v>186</v>
      </c>
      <c r="B24" s="43" t="s">
        <v>187</v>
      </c>
      <c r="C24" s="32" t="s">
        <v>188</v>
      </c>
      <c r="D24" s="22" t="s">
        <v>63</v>
      </c>
      <c r="E24" s="23">
        <v>2</v>
      </c>
      <c r="F24" s="23">
        <v>2</v>
      </c>
      <c r="G24" s="44" t="s">
        <v>57</v>
      </c>
    </row>
    <row r="25" spans="1:7" ht="30" x14ac:dyDescent="0.2">
      <c r="A25" s="43" t="s">
        <v>186</v>
      </c>
      <c r="B25" s="43" t="s">
        <v>189</v>
      </c>
      <c r="C25" s="32" t="s">
        <v>190</v>
      </c>
      <c r="D25" s="32" t="s">
        <v>60</v>
      </c>
      <c r="E25" s="23">
        <v>1</v>
      </c>
      <c r="F25" s="23">
        <v>1</v>
      </c>
      <c r="G25" s="44" t="s">
        <v>57</v>
      </c>
    </row>
    <row r="26" spans="1:7" ht="30" x14ac:dyDescent="0.2">
      <c r="A26" s="43" t="s">
        <v>186</v>
      </c>
      <c r="B26" s="43" t="s">
        <v>191</v>
      </c>
      <c r="C26" s="32" t="s">
        <v>192</v>
      </c>
      <c r="D26" s="22" t="s">
        <v>77</v>
      </c>
      <c r="E26" s="23">
        <v>2</v>
      </c>
      <c r="F26" s="23">
        <v>2</v>
      </c>
      <c r="G26" s="44" t="s">
        <v>57</v>
      </c>
    </row>
    <row r="27" spans="1:7" ht="30" x14ac:dyDescent="0.2">
      <c r="A27" s="43" t="s">
        <v>186</v>
      </c>
      <c r="B27" s="43" t="s">
        <v>193</v>
      </c>
      <c r="C27" s="32" t="s">
        <v>194</v>
      </c>
      <c r="D27" s="22" t="s">
        <v>37</v>
      </c>
      <c r="E27" s="23">
        <v>1</v>
      </c>
      <c r="F27" s="23">
        <v>1</v>
      </c>
      <c r="G27" s="44" t="s">
        <v>57</v>
      </c>
    </row>
    <row r="28" spans="1:7" x14ac:dyDescent="0.2">
      <c r="A28" s="57" t="s">
        <v>208</v>
      </c>
      <c r="B28" s="49"/>
      <c r="C28" s="49"/>
      <c r="D28" s="49"/>
      <c r="E28" s="41">
        <v>6</v>
      </c>
      <c r="F28" s="41">
        <v>6</v>
      </c>
    </row>
    <row r="29" spans="1:7" x14ac:dyDescent="0.2">
      <c r="A29" s="58" t="s">
        <v>207</v>
      </c>
      <c r="B29" s="49"/>
      <c r="C29" s="49"/>
      <c r="D29" s="49"/>
      <c r="E29" s="38">
        <v>16</v>
      </c>
      <c r="F29" s="38">
        <v>16</v>
      </c>
    </row>
  </sheetData>
  <mergeCells count="15">
    <mergeCell ref="B7:G7"/>
    <mergeCell ref="A1:G1"/>
    <mergeCell ref="A2:G2"/>
    <mergeCell ref="A4:G4"/>
    <mergeCell ref="B5:G5"/>
    <mergeCell ref="B6:G6"/>
    <mergeCell ref="A21:D21"/>
    <mergeCell ref="A28:D28"/>
    <mergeCell ref="A29:D29"/>
    <mergeCell ref="B8:G8"/>
    <mergeCell ref="B9:G9"/>
    <mergeCell ref="B10:G10"/>
    <mergeCell ref="B11:G11"/>
    <mergeCell ref="B12:G12"/>
    <mergeCell ref="A15:G15"/>
  </mergeCells>
  <phoneticPr fontId="2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21A0-A926-504A-AE0D-4F9A41D90BFA}">
  <dimension ref="A1:G37"/>
  <sheetViews>
    <sheetView tabSelected="1" topLeftCell="A11" workbookViewId="0">
      <selection activeCell="I21" sqref="I21"/>
    </sheetView>
  </sheetViews>
  <sheetFormatPr baseColWidth="10" defaultColWidth="8.83203125" defaultRowHeight="15" x14ac:dyDescent="0.2"/>
  <cols>
    <col min="1" max="2" width="10" style="42" customWidth="1"/>
    <col min="3" max="3" width="45" style="42" customWidth="1"/>
    <col min="4" max="4" width="13" style="42" customWidth="1"/>
    <col min="5" max="5" width="10" style="42" customWidth="1"/>
    <col min="6" max="7" width="11" style="42" customWidth="1"/>
    <col min="8" max="16384" width="8.83203125" style="42"/>
  </cols>
  <sheetData>
    <row r="1" spans="1:2" ht="24" customHeight="1" x14ac:dyDescent="0.3">
      <c r="A1" s="12" t="s">
        <v>22</v>
      </c>
    </row>
    <row r="2" spans="1:2" x14ac:dyDescent="0.2">
      <c r="A2" s="9" t="s">
        <v>23</v>
      </c>
    </row>
    <row r="4" spans="1:2" ht="16" customHeight="1" x14ac:dyDescent="0.2">
      <c r="A4" s="8" t="s">
        <v>24</v>
      </c>
    </row>
    <row r="5" spans="1:2" ht="22" customHeight="1" x14ac:dyDescent="0.2">
      <c r="A5" s="13" t="s">
        <v>25</v>
      </c>
      <c r="B5" s="33" t="s">
        <v>233</v>
      </c>
    </row>
    <row r="6" spans="1:2" ht="22" customHeight="1" x14ac:dyDescent="0.2">
      <c r="A6" s="13" t="s">
        <v>26</v>
      </c>
      <c r="B6" s="33" t="s">
        <v>27</v>
      </c>
    </row>
    <row r="7" spans="1:2" ht="22" customHeight="1" x14ac:dyDescent="0.2">
      <c r="A7" s="13" t="s">
        <v>28</v>
      </c>
      <c r="B7" s="33" t="s">
        <v>29</v>
      </c>
    </row>
    <row r="8" spans="1:2" ht="22" customHeight="1" x14ac:dyDescent="0.2">
      <c r="A8" s="13" t="s">
        <v>30</v>
      </c>
      <c r="B8" s="14" t="s">
        <v>31</v>
      </c>
    </row>
    <row r="9" spans="1:2" ht="22" customHeight="1" x14ac:dyDescent="0.2">
      <c r="A9" s="13" t="s">
        <v>32</v>
      </c>
      <c r="B9" s="14" t="s">
        <v>33</v>
      </c>
    </row>
    <row r="10" spans="1:2" ht="22" customHeight="1" x14ac:dyDescent="0.2">
      <c r="A10" s="13" t="s">
        <v>34</v>
      </c>
      <c r="B10" s="14" t="s">
        <v>211</v>
      </c>
    </row>
    <row r="11" spans="1:2" ht="22" customHeight="1" x14ac:dyDescent="0.2">
      <c r="A11" s="13" t="s">
        <v>36</v>
      </c>
      <c r="B11" s="33" t="s">
        <v>37</v>
      </c>
    </row>
    <row r="12" spans="1:2" ht="22" customHeight="1" x14ac:dyDescent="0.2">
      <c r="A12" s="13" t="s">
        <v>38</v>
      </c>
      <c r="B12" s="33" t="s">
        <v>39</v>
      </c>
    </row>
    <row r="14" spans="1:2" x14ac:dyDescent="0.2">
      <c r="A14" s="3" t="s">
        <v>40</v>
      </c>
      <c r="B14" s="9" t="s">
        <v>41</v>
      </c>
    </row>
    <row r="15" spans="1:2" x14ac:dyDescent="0.2">
      <c r="A15" s="3" t="s">
        <v>42</v>
      </c>
      <c r="B15" s="9" t="s">
        <v>43</v>
      </c>
    </row>
    <row r="16" spans="1:2" x14ac:dyDescent="0.2">
      <c r="A16" s="15" t="s">
        <v>44</v>
      </c>
      <c r="B16" s="9" t="s">
        <v>45</v>
      </c>
    </row>
    <row r="17" spans="1:7" x14ac:dyDescent="0.2">
      <c r="A17" s="16" t="s">
        <v>46</v>
      </c>
      <c r="B17" s="9" t="s">
        <v>47</v>
      </c>
    </row>
    <row r="19" spans="1:7" ht="16" customHeight="1" x14ac:dyDescent="0.2">
      <c r="A19" s="17" t="s">
        <v>48</v>
      </c>
      <c r="B19" s="17" t="s">
        <v>49</v>
      </c>
      <c r="C19" s="17" t="s">
        <v>50</v>
      </c>
      <c r="D19" s="17" t="s">
        <v>51</v>
      </c>
      <c r="E19" s="17" t="s">
        <v>52</v>
      </c>
      <c r="F19" s="17" t="s">
        <v>53</v>
      </c>
      <c r="G19" s="17" t="s">
        <v>18</v>
      </c>
    </row>
    <row r="20" spans="1:7" ht="16" customHeight="1" x14ac:dyDescent="0.2">
      <c r="A20" s="61" t="s">
        <v>212</v>
      </c>
      <c r="B20" s="61"/>
      <c r="C20" s="61"/>
      <c r="D20" s="61"/>
      <c r="E20" s="61"/>
      <c r="F20" s="61"/>
      <c r="G20" s="61"/>
    </row>
    <row r="21" spans="1:7" ht="30" customHeight="1" x14ac:dyDescent="0.2">
      <c r="A21" s="63" t="s">
        <v>234</v>
      </c>
      <c r="B21" s="63" t="s">
        <v>236</v>
      </c>
      <c r="C21" s="19" t="s">
        <v>214</v>
      </c>
      <c r="D21" s="35" t="s">
        <v>63</v>
      </c>
      <c r="E21" s="20">
        <v>3</v>
      </c>
      <c r="F21" s="20">
        <v>3</v>
      </c>
      <c r="G21" s="19" t="s">
        <v>57</v>
      </c>
    </row>
    <row r="22" spans="1:7" ht="30" customHeight="1" x14ac:dyDescent="0.2">
      <c r="A22" s="63" t="s">
        <v>234</v>
      </c>
      <c r="B22" s="63" t="s">
        <v>237</v>
      </c>
      <c r="C22" s="19" t="s">
        <v>213</v>
      </c>
      <c r="D22" s="35" t="s">
        <v>77</v>
      </c>
      <c r="E22" s="20">
        <v>2</v>
      </c>
      <c r="F22" s="20">
        <v>2</v>
      </c>
      <c r="G22" s="19" t="s">
        <v>57</v>
      </c>
    </row>
    <row r="23" spans="1:7" ht="42" customHeight="1" x14ac:dyDescent="0.2">
      <c r="A23" s="63" t="s">
        <v>235</v>
      </c>
      <c r="B23" s="63" t="s">
        <v>238</v>
      </c>
      <c r="C23" s="19" t="s">
        <v>215</v>
      </c>
      <c r="D23" s="35" t="s">
        <v>37</v>
      </c>
      <c r="E23" s="20">
        <v>1.5</v>
      </c>
      <c r="F23" s="20">
        <v>1.5</v>
      </c>
      <c r="G23" s="19" t="s">
        <v>57</v>
      </c>
    </row>
    <row r="24" spans="1:7" ht="16" customHeight="1" x14ac:dyDescent="0.2">
      <c r="A24" s="61" t="s">
        <v>216</v>
      </c>
      <c r="B24" s="61"/>
      <c r="C24" s="61"/>
      <c r="D24" s="61"/>
      <c r="E24" s="61"/>
      <c r="F24" s="61"/>
      <c r="G24" s="61"/>
    </row>
    <row r="25" spans="1:7" ht="30" customHeight="1" x14ac:dyDescent="0.2">
      <c r="A25" s="21" t="s">
        <v>217</v>
      </c>
      <c r="B25" s="21" t="s">
        <v>219</v>
      </c>
      <c r="C25" s="22" t="s">
        <v>218</v>
      </c>
      <c r="D25" s="22" t="s">
        <v>39</v>
      </c>
      <c r="E25" s="23">
        <v>3</v>
      </c>
      <c r="F25" s="23">
        <v>3</v>
      </c>
      <c r="G25" s="22" t="s">
        <v>57</v>
      </c>
    </row>
    <row r="26" spans="1:7" ht="30" customHeight="1" x14ac:dyDescent="0.2">
      <c r="A26" s="21" t="s">
        <v>220</v>
      </c>
      <c r="B26" s="21" t="s">
        <v>222</v>
      </c>
      <c r="C26" s="22" t="s">
        <v>221</v>
      </c>
      <c r="D26" s="32" t="s">
        <v>60</v>
      </c>
      <c r="E26" s="23">
        <v>2</v>
      </c>
      <c r="F26" s="23">
        <v>2</v>
      </c>
      <c r="G26" s="22" t="s">
        <v>57</v>
      </c>
    </row>
    <row r="27" spans="1:7" ht="16" customHeight="1" x14ac:dyDescent="0.2">
      <c r="A27" s="62" t="s">
        <v>232</v>
      </c>
      <c r="B27" s="61"/>
      <c r="C27" s="61"/>
      <c r="D27" s="61"/>
      <c r="E27" s="61"/>
      <c r="F27" s="61"/>
      <c r="G27" s="61"/>
    </row>
    <row r="28" spans="1:7" ht="30" customHeight="1" x14ac:dyDescent="0.2">
      <c r="A28" s="21" t="s">
        <v>226</v>
      </c>
      <c r="B28" s="43" t="s">
        <v>228</v>
      </c>
      <c r="C28" s="22" t="s">
        <v>223</v>
      </c>
      <c r="D28" s="32" t="s">
        <v>74</v>
      </c>
      <c r="E28" s="23">
        <v>3</v>
      </c>
      <c r="F28" s="23">
        <v>3</v>
      </c>
      <c r="G28" s="22" t="s">
        <v>57</v>
      </c>
    </row>
    <row r="29" spans="1:7" ht="30" customHeight="1" x14ac:dyDescent="0.2">
      <c r="A29" s="21" t="s">
        <v>226</v>
      </c>
      <c r="B29" s="43" t="s">
        <v>229</v>
      </c>
      <c r="C29" s="22" t="s">
        <v>224</v>
      </c>
      <c r="D29" s="22" t="s">
        <v>71</v>
      </c>
      <c r="E29" s="23">
        <v>2</v>
      </c>
      <c r="F29" s="23">
        <v>2</v>
      </c>
      <c r="G29" s="22" t="s">
        <v>57</v>
      </c>
    </row>
    <row r="30" spans="1:7" ht="30" customHeight="1" x14ac:dyDescent="0.2">
      <c r="A30" s="43" t="s">
        <v>227</v>
      </c>
      <c r="B30" s="43" t="s">
        <v>230</v>
      </c>
      <c r="C30" s="22" t="s">
        <v>225</v>
      </c>
      <c r="D30" s="32" t="s">
        <v>37</v>
      </c>
      <c r="E30" s="23">
        <v>2</v>
      </c>
      <c r="F30" s="23">
        <v>2</v>
      </c>
      <c r="G30" s="22" t="s">
        <v>57</v>
      </c>
    </row>
    <row r="31" spans="1:7" x14ac:dyDescent="0.2">
      <c r="A31" s="24" t="s">
        <v>80</v>
      </c>
      <c r="B31" s="25"/>
      <c r="C31" s="36" t="s">
        <v>231</v>
      </c>
      <c r="D31" s="25"/>
      <c r="E31" s="24">
        <f>SUM(E21:E30)</f>
        <v>18.5</v>
      </c>
      <c r="F31" s="24">
        <f>SUM(F21:F30)</f>
        <v>18.5</v>
      </c>
      <c r="G31" s="25"/>
    </row>
    <row r="33" spans="1:2" x14ac:dyDescent="0.2">
      <c r="A33" s="3" t="s">
        <v>82</v>
      </c>
    </row>
    <row r="34" spans="1:2" x14ac:dyDescent="0.2">
      <c r="A34" s="26" t="s">
        <v>57</v>
      </c>
      <c r="B34" s="9" t="s">
        <v>83</v>
      </c>
    </row>
    <row r="35" spans="1:2" x14ac:dyDescent="0.2">
      <c r="A35" s="27" t="s">
        <v>84</v>
      </c>
      <c r="B35" s="9" t="s">
        <v>85</v>
      </c>
    </row>
    <row r="36" spans="1:2" x14ac:dyDescent="0.2">
      <c r="A36" s="16" t="s">
        <v>86</v>
      </c>
      <c r="B36" s="9" t="s">
        <v>87</v>
      </c>
    </row>
    <row r="37" spans="1:2" x14ac:dyDescent="0.2">
      <c r="A37" s="15" t="s">
        <v>88</v>
      </c>
      <c r="B37" s="9" t="s">
        <v>89</v>
      </c>
    </row>
  </sheetData>
  <mergeCells count="3">
    <mergeCell ref="A20:G20"/>
    <mergeCell ref="A24:G24"/>
    <mergeCell ref="A27:G27"/>
  </mergeCells>
  <phoneticPr fontId="2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F6EE-A935-0849-8574-CEE3BAF60FB8}">
  <dimension ref="A1:M21"/>
  <sheetViews>
    <sheetView workbookViewId="0">
      <selection activeCell="L18" sqref="L18"/>
    </sheetView>
  </sheetViews>
  <sheetFormatPr baseColWidth="10" defaultColWidth="8.83203125" defaultRowHeight="15" x14ac:dyDescent="0.2"/>
  <cols>
    <col min="1" max="1" width="28" customWidth="1"/>
    <col min="2" max="3" width="22" customWidth="1"/>
    <col min="4" max="4" width="14" customWidth="1"/>
    <col min="5" max="5" width="35" customWidth="1"/>
  </cols>
  <sheetData>
    <row r="1" spans="1:13" ht="24" customHeight="1" x14ac:dyDescent="0.3">
      <c r="A1" s="46" t="s">
        <v>203</v>
      </c>
    </row>
    <row r="2" spans="1:13" x14ac:dyDescent="0.2">
      <c r="A2" s="47" t="s">
        <v>204</v>
      </c>
    </row>
    <row r="3" spans="1:13" x14ac:dyDescent="0.2">
      <c r="M3" t="s">
        <v>206</v>
      </c>
    </row>
    <row r="4" spans="1:13" x14ac:dyDescent="0.2">
      <c r="A4" s="3" t="s">
        <v>92</v>
      </c>
      <c r="B4" s="47" t="s">
        <v>93</v>
      </c>
    </row>
    <row r="5" spans="1:13" x14ac:dyDescent="0.2">
      <c r="A5" s="3" t="s">
        <v>94</v>
      </c>
      <c r="B5" s="9" t="s">
        <v>95</v>
      </c>
    </row>
    <row r="7" spans="1:13" ht="16" customHeight="1" x14ac:dyDescent="0.2">
      <c r="A7" s="17" t="s">
        <v>96</v>
      </c>
      <c r="B7" s="17" t="s">
        <v>97</v>
      </c>
      <c r="C7" s="17" t="s">
        <v>98</v>
      </c>
      <c r="D7" s="17" t="s">
        <v>99</v>
      </c>
      <c r="E7" s="17" t="s">
        <v>100</v>
      </c>
    </row>
    <row r="8" spans="1:13" ht="25" customHeight="1" x14ac:dyDescent="0.2">
      <c r="A8" s="28" t="s">
        <v>101</v>
      </c>
      <c r="B8" s="29">
        <v>16</v>
      </c>
      <c r="C8" s="29">
        <v>16</v>
      </c>
      <c r="D8" s="29">
        <v>0</v>
      </c>
      <c r="E8" s="14" t="s">
        <v>102</v>
      </c>
    </row>
    <row r="9" spans="1:13" ht="25" customHeight="1" x14ac:dyDescent="0.2">
      <c r="A9" s="28" t="s">
        <v>103</v>
      </c>
      <c r="B9" s="29">
        <v>11</v>
      </c>
      <c r="C9" s="29">
        <v>12</v>
      </c>
      <c r="D9" s="45">
        <v>1</v>
      </c>
      <c r="E9" s="14" t="s">
        <v>104</v>
      </c>
    </row>
    <row r="10" spans="1:13" ht="25" customHeight="1" x14ac:dyDescent="0.2">
      <c r="A10" s="28" t="s">
        <v>105</v>
      </c>
      <c r="B10" s="29">
        <v>7</v>
      </c>
      <c r="C10" s="29">
        <v>9</v>
      </c>
      <c r="D10" s="29">
        <v>2</v>
      </c>
      <c r="E10" s="14" t="s">
        <v>106</v>
      </c>
    </row>
    <row r="11" spans="1:13" ht="25" customHeight="1" x14ac:dyDescent="0.2">
      <c r="A11" s="28" t="s">
        <v>107</v>
      </c>
      <c r="B11" s="29">
        <v>2</v>
      </c>
      <c r="C11" s="45">
        <v>2</v>
      </c>
      <c r="D11" s="29">
        <v>0</v>
      </c>
      <c r="E11" s="14" t="s">
        <v>108</v>
      </c>
    </row>
    <row r="12" spans="1:13" ht="25" customHeight="1" x14ac:dyDescent="0.2">
      <c r="A12" s="28" t="s">
        <v>109</v>
      </c>
      <c r="B12" s="29">
        <v>0</v>
      </c>
      <c r="C12" s="29">
        <v>0</v>
      </c>
      <c r="D12" s="29">
        <v>0</v>
      </c>
      <c r="E12" s="14" t="s">
        <v>110</v>
      </c>
    </row>
    <row r="15" spans="1:13" x14ac:dyDescent="0.2">
      <c r="A15" s="3" t="s">
        <v>111</v>
      </c>
      <c r="B15" s="7" t="s">
        <v>112</v>
      </c>
    </row>
    <row r="17" spans="1:2" x14ac:dyDescent="0.2">
      <c r="A17" s="3" t="s">
        <v>113</v>
      </c>
    </row>
    <row r="18" spans="1:2" x14ac:dyDescent="0.2">
      <c r="A18" s="15" t="s">
        <v>114</v>
      </c>
      <c r="B18" s="9" t="s">
        <v>115</v>
      </c>
    </row>
    <row r="19" spans="1:2" x14ac:dyDescent="0.2">
      <c r="A19" s="27" t="s">
        <v>116</v>
      </c>
      <c r="B19" s="9" t="s">
        <v>117</v>
      </c>
    </row>
    <row r="20" spans="1:2" x14ac:dyDescent="0.2">
      <c r="A20" s="15" t="s">
        <v>118</v>
      </c>
      <c r="B20" s="9" t="s">
        <v>119</v>
      </c>
    </row>
    <row r="21" spans="1:2" x14ac:dyDescent="0.2">
      <c r="A21" s="16" t="s">
        <v>120</v>
      </c>
      <c r="B21" s="9" t="s">
        <v>121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9" customHeight="1" x14ac:dyDescent="0.25">
      <c r="B2" s="2" t="s">
        <v>156</v>
      </c>
    </row>
    <row r="3" spans="1:4" x14ac:dyDescent="0.2">
      <c r="B3" s="9" t="s">
        <v>157</v>
      </c>
    </row>
    <row r="5" spans="1:4" ht="16" customHeight="1" x14ac:dyDescent="0.2">
      <c r="A5" s="17"/>
      <c r="B5" s="17" t="s">
        <v>158</v>
      </c>
      <c r="C5" s="17" t="s">
        <v>159</v>
      </c>
      <c r="D5" t="s">
        <v>160</v>
      </c>
    </row>
    <row r="6" spans="1:4" ht="30" customHeight="1" x14ac:dyDescent="0.2">
      <c r="B6" s="30" t="s">
        <v>161</v>
      </c>
      <c r="C6" s="31" t="s">
        <v>162</v>
      </c>
      <c r="D6" s="30"/>
    </row>
    <row r="7" spans="1:4" ht="30" customHeight="1" x14ac:dyDescent="0.2">
      <c r="B7" s="30" t="s">
        <v>163</v>
      </c>
      <c r="C7" s="31" t="s">
        <v>162</v>
      </c>
      <c r="D7" s="30"/>
    </row>
    <row r="8" spans="1:4" ht="30" customHeight="1" x14ac:dyDescent="0.2">
      <c r="B8" s="30" t="s">
        <v>164</v>
      </c>
      <c r="C8" s="31" t="s">
        <v>162</v>
      </c>
      <c r="D8" s="30"/>
    </row>
    <row r="9" spans="1:4" ht="30" customHeight="1" x14ac:dyDescent="0.2">
      <c r="B9" s="30" t="s">
        <v>165</v>
      </c>
      <c r="C9" s="31" t="s">
        <v>162</v>
      </c>
      <c r="D9" s="30"/>
    </row>
    <row r="10" spans="1:4" ht="30" customHeight="1" x14ac:dyDescent="0.2">
      <c r="B10" s="30" t="s">
        <v>166</v>
      </c>
      <c r="C10" s="31" t="s">
        <v>162</v>
      </c>
      <c r="D10" s="30"/>
    </row>
    <row r="11" spans="1:4" ht="30" customHeight="1" x14ac:dyDescent="0.2">
      <c r="B11" s="30" t="s">
        <v>167</v>
      </c>
      <c r="C11" s="31" t="s">
        <v>162</v>
      </c>
      <c r="D11" s="30"/>
    </row>
    <row r="12" spans="1:4" ht="30" customHeight="1" x14ac:dyDescent="0.2">
      <c r="B12" s="30" t="s">
        <v>168</v>
      </c>
      <c r="C12" s="31" t="s">
        <v>162</v>
      </c>
      <c r="D12" s="30"/>
    </row>
    <row r="13" spans="1:4" ht="30" customHeight="1" x14ac:dyDescent="0.2">
      <c r="B13" s="30" t="s">
        <v>169</v>
      </c>
      <c r="C13" s="31" t="s">
        <v>162</v>
      </c>
      <c r="D13" s="30"/>
    </row>
    <row r="14" spans="1:4" ht="30" customHeight="1" x14ac:dyDescent="0.2">
      <c r="B14" s="30" t="s">
        <v>170</v>
      </c>
      <c r="C14" s="31" t="s">
        <v>162</v>
      </c>
      <c r="D14" s="30"/>
    </row>
    <row r="15" spans="1:4" ht="30" customHeight="1" x14ac:dyDescent="0.2">
      <c r="B15" s="30" t="s">
        <v>171</v>
      </c>
      <c r="C15" s="31" t="s">
        <v>162</v>
      </c>
      <c r="D15" s="3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Garde</vt:lpstr>
      <vt:lpstr>Identification</vt:lpstr>
      <vt:lpstr>Sprint 1</vt:lpstr>
      <vt:lpstr>Burndown Sprint 1</vt:lpstr>
      <vt:lpstr>Sprint 2</vt:lpstr>
      <vt:lpstr>Burndown Sprint 2</vt:lpstr>
      <vt:lpstr>Sprint 3</vt:lpstr>
      <vt:lpstr>Sprint 4</vt:lpstr>
      <vt:lpstr>Burndown Sprint 3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2026-06-25T22:39:08Z</dcterms:created>
  <dcterms:modified xsi:type="dcterms:W3CDTF">2026-07-02T09:41:23Z</dcterms:modified>
</cp:coreProperties>
</file>