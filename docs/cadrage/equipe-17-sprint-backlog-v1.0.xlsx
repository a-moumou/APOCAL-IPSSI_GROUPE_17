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9"/>
  <workbookPr/>
  <mc:AlternateContent xmlns:mc="http://schemas.openxmlformats.org/markup-compatibility/2006">
    <mc:Choice Requires="x15">
      <x15ac:absPath xmlns:x15ac="http://schemas.microsoft.com/office/spreadsheetml/2010/11/ac" url="/Users/jstm/Downloads/"/>
    </mc:Choice>
  </mc:AlternateContent>
  <xr:revisionPtr revIDLastSave="0" documentId="13_ncr:1_{68F10363-C481-6F4A-9EC5-9B29F54A66A6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Garde" sheetId="1" r:id="rId1"/>
    <sheet name="Identification" sheetId="2" r:id="rId2"/>
    <sheet name="Sprint 1" sheetId="3" r:id="rId3"/>
    <sheet name="Burndown Sprint 1" sheetId="4" r:id="rId4"/>
    <sheet name="Auto-évaluatio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5" i="3" l="1"/>
  <c r="E45" i="3"/>
</calcChain>
</file>

<file path=xl/sharedStrings.xml><?xml version="1.0" encoding="utf-8"?>
<sst xmlns="http://schemas.openxmlformats.org/spreadsheetml/2006/main" count="254" uniqueCount="178">
  <si>
    <t>A</t>
  </si>
  <si>
    <t>APOCAL'IPSSI</t>
  </si>
  <si>
    <t>CADRAGE MATINAL · ARTEFACT 7 SUR 7</t>
  </si>
  <si>
    <t>Sprint Backlog</t>
  </si>
  <si>
    <t>Décomposition technique du Sprint 1 d'EduTutor IA (lundi 14h-18h)</t>
  </si>
  <si>
    <t>Projet EduTutor IA · Édition 2026 · Semaine immersive Scrum</t>
  </si>
  <si>
    <t>Auteur : Mohamed Amine EL AFRIT · Licence CC BY-NC-SA 4.0</t>
  </si>
  <si>
    <t>IDENTIFICATION DU DOCUMENT</t>
  </si>
  <si>
    <t>À compléter par l'équipe avant chaque remise</t>
  </si>
  <si>
    <t>Équipe n°</t>
  </si>
  <si>
    <t>Membres</t>
  </si>
  <si>
    <t>Sprint concerné</t>
  </si>
  <si>
    <t>[ Cadrage / Sprint 1 / ... / Sprint 7 ]</t>
  </si>
  <si>
    <t>Version</t>
  </si>
  <si>
    <t>[ v1.0 · v1.1 · v2.0 ]</t>
  </si>
  <si>
    <t>Date de remise</t>
  </si>
  <si>
    <t>Statut</t>
  </si>
  <si>
    <t>[ Draft · En revue PO · Validé PO · Archivé ]</t>
  </si>
  <si>
    <t>💡 Convention de nommage du fichier :</t>
  </si>
  <si>
    <t>equipe-XX-nom-document-vY.Z.xlsx  (ex. equipe-03-product-backlog-v1.0.xlsx)</t>
  </si>
  <si>
    <t>SPRINT BACKLOG : SPRINT 1</t>
  </si>
  <si>
    <t>Lundi PM 14h00 – 18h00 · 28 h-pers · objectif F1+F2 (compte + upload)</t>
  </si>
  <si>
    <t>📋 MÉTADONNÉES DU SPRINT</t>
  </si>
  <si>
    <t>Numéro de sprint</t>
  </si>
  <si>
    <t>Sprint 1</t>
  </si>
  <si>
    <t>Date</t>
  </si>
  <si>
    <t>Équipe (n personnes)</t>
  </si>
  <si>
    <t>7 personnes</t>
  </si>
  <si>
    <t>Capacité totale</t>
  </si>
  <si>
    <t>7 × 4 h = 28 h-pers</t>
  </si>
  <si>
    <t>Vélocité cible (SP)</t>
  </si>
  <si>
    <t>8 à 10 SP (US-01 = 3 SP, US-02 = 5 SP)</t>
  </si>
  <si>
    <t>Objectif sprint</t>
  </si>
  <si>
    <t>Démarrer les features F1 (inscription) et F2 (upload cours), démontrable en Sprint Review 18h</t>
  </si>
  <si>
    <t>Scrum Master</t>
  </si>
  <si>
    <t>[ Prénom NOM ]</t>
  </si>
  <si>
    <t>Product Owner</t>
  </si>
  <si>
    <t>💡 OBJECTIF</t>
  </si>
  <si>
    <t>Décomposer chaque story tirée du Product Backlog en tâches techniques fines (1-3h), avec assignation et estimation. Mis à jour en daily.</t>
  </si>
  <si>
    <t>📐 FORMAT</t>
  </si>
  <si>
    <t>3 à 5 tâches par user story. Estimation en heures (pas SP, trop grossier pour 1 sprint court). Restant mis à jour à chaque daily.</t>
  </si>
  <si>
    <t>✅ BON</t>
  </si>
  <si>
    <t>« T-01.2 Endpoint POST /api/signup avec validation email + mdp ≥ 8 car · Assigné : Léa · Estim 2h »</t>
  </si>
  <si>
    <t>❌ À ÉVITER</t>
  </si>
  <si>
    <t>« Faire l'inscription » (pas de tâche atomique, ni assigné, ni estimable)</t>
  </si>
  <si>
    <t>US</t>
  </si>
  <si>
    <t>ID tâche</t>
  </si>
  <si>
    <t>Tâche technique</t>
  </si>
  <si>
    <t>Assigné</t>
  </si>
  <si>
    <t>Estim. (h)</t>
  </si>
  <si>
    <t>Restant (h)</t>
  </si>
  <si>
    <t>US-01</t>
  </si>
  <si>
    <t>T-01.1</t>
  </si>
  <si>
    <t>Modèle User Django (extension AbstractUser) + migration</t>
  </si>
  <si>
    <t>Todo</t>
  </si>
  <si>
    <t>T-01.2</t>
  </si>
  <si>
    <t>Sérialiseur DRF + endpoint POST /api/signup avec validation email + mdp ≥ 8 car</t>
  </si>
  <si>
    <t>T-01.3</t>
  </si>
  <si>
    <t>Page React /signup (formulaire + validation client + appel API + redirect)</t>
  </si>
  <si>
    <t>T-01.4</t>
  </si>
  <si>
    <t>Tests pytest endpoint + Vitest composant React</t>
  </si>
  <si>
    <t>US-02</t>
  </si>
  <si>
    <t>T-02.1</t>
  </si>
  <si>
    <t>Modèle Course Django (user FK, title, content, source) + migration</t>
  </si>
  <si>
    <t>T-02.2</t>
  </si>
  <si>
    <t>Endpoint POST /api/courses (PDF upload ≤ 5 Mo) + extraction texte (PyPDF2)</t>
  </si>
  <si>
    <t>T-02.3</t>
  </si>
  <si>
    <t>Endpoint POST /api/courses (texte ≥ 200 car) + validation</t>
  </si>
  <si>
    <t>T-02.4</t>
  </si>
  <si>
    <t>Page React /upload (dropzone + textarea + sélecteur méthode + appel API)</t>
  </si>
  <si>
    <t>T-02.5</t>
  </si>
  <si>
    <t>Tests pytest + Vitest + ajout README section upload</t>
  </si>
  <si>
    <t>TOTAL</t>
  </si>
  <si>
    <t>📌 STATUTS</t>
  </si>
  <si>
    <t>Tâche pas encore commencée</t>
  </si>
  <si>
    <t>In Progress</t>
  </si>
  <si>
    <t>Tâche en cours (1 seule par personne idéalement)</t>
  </si>
  <si>
    <t>Blocked</t>
  </si>
  <si>
    <t>Tâche bloquée, à remonter en daily</t>
  </si>
  <si>
    <t>Done</t>
  </si>
  <si>
    <t>Tâche terminée et validée</t>
  </si>
  <si>
    <t>BURNDOWN : SPRINT 1</t>
  </si>
  <si>
    <t>Trajectoire des heures restantes lundi 14h00 → 18h00 (sprint de 4h)</t>
  </si>
  <si>
    <t>💡 BURNDOWN vs BURNUP</t>
  </si>
  <si>
    <t>Le BURNDOWN trace les h-pers restantes au cours du sprint (descendant). Burnup = livré cumulé (montant). Pour 1 sprint court, burndown est plus actionnable.</t>
  </si>
  <si>
    <t>📐 LECTURE</t>
  </si>
  <si>
    <t>Idéal : descente linéaire de 16h (estim) à 0h. Réel : à reporter à chaque daily (ou heure ronde). Si Réel &gt; Idéal → alerte capacité.</t>
  </si>
  <si>
    <t>Moment du sprint</t>
  </si>
  <si>
    <t>Heure restante (idéal)</t>
  </si>
  <si>
    <t>Heure restante (réel)</t>
  </si>
  <si>
    <t>Δ réel-idéal</t>
  </si>
  <si>
    <t>Commentaire</t>
  </si>
  <si>
    <t>14h00, Début sprint</t>
  </si>
  <si>
    <t>[à compléter]</t>
  </si>
  <si>
    <t>Début sprint, toutes tâches en Todo</t>
  </si>
  <si>
    <t>15h00, Daily intermédiaire</t>
  </si>
  <si>
    <t>1/4 du sprint écoulé</t>
  </si>
  <si>
    <t>16h00, Mi-sprint</t>
  </si>
  <si>
    <t>Mi-sprint, point de vigilance</t>
  </si>
  <si>
    <t>17h00, Avant clôture</t>
  </si>
  <si>
    <t>Dernière heure, finition tests</t>
  </si>
  <si>
    <t>18h00, Fin sprint / Review</t>
  </si>
  <si>
    <t>Sprint Review + démo PO</t>
  </si>
  <si>
    <t>📊 INSÉRER UN GRAPHIQUE</t>
  </si>
  <si>
    <t>Sélectionnez les colonnes Moment / Idéal / Réel puis Excel : Insertion &gt; Graphique en courbes. 2 séries (Idéal en pointillés, Réel en plein). L'écart visualise la dérive du sprint.</t>
  </si>
  <si>
    <t>📈 LECTURE DE LA COURBE</t>
  </si>
  <si>
    <t>Réel ≈ Idéal</t>
  </si>
  <si>
    <t>Sprint sous contrôle, vélocité conforme à l'estimation</t>
  </si>
  <si>
    <t>Réel &gt; Idéal</t>
  </si>
  <si>
    <t>Retard, réfléchir en daily à un re-planning ou retrait d'une tâche non critique</t>
  </si>
  <si>
    <t>Réel &lt; Idéal</t>
  </si>
  <si>
    <t>Avance, possibilité de tirer une tâche supplémentaire du Product Backlog</t>
  </si>
  <si>
    <t>Courbe plate</t>
  </si>
  <si>
    <t>Tâches bloquées, escalader immédiatement avec le Scrum Master</t>
  </si>
  <si>
    <t>✅ Grille d'auto-évaluation</t>
  </si>
  <si>
    <t>À remplir par l'équipe avant soumission au PO</t>
  </si>
  <si>
    <t>Critère qualité</t>
  </si>
  <si>
    <t>Auto-évaluation</t>
  </si>
  <si>
    <t>Commentaire / preuve</t>
  </si>
  <si>
    <t>Métadonnées sprint complètes (numéro, date, équipe, capacité, vélocité cible, objectif, SM/PO)</t>
  </si>
  <si>
    <t>☐ Oui   ☐ Partiel   ☐ Non</t>
  </si>
  <si>
    <t>Stories engagées tirées du Product Backlog avec leur ID (US-XX)</t>
  </si>
  <si>
    <t>Chaque story est décomposée en 3-5 tâches techniques atomiques (1-3 h chacune)</t>
  </si>
  <si>
    <t>Chaque tâche a un ID (T-XX.Y) et un libellé clair et actionnable</t>
  </si>
  <si>
    <t>Chaque tâche est assignée à une personne (pas de tâche orpheline)</t>
  </si>
  <si>
    <t>Estimation horaire totale ≤ capacité du sprint (marge raisonnable conservée)</t>
  </si>
  <si>
    <t>Burndown initialisé avec heures idéales par moment du sprint</t>
  </si>
  <si>
    <t>Burndown mis à jour à chaque daily (colonne Réel renseignée)</t>
  </si>
  <si>
    <t>Sprint Review programmée en fin de sprint avec démo PO</t>
  </si>
  <si>
    <t>Le Sprint Backlog a été co-construit en Sprint Planning (toutes les voix entendues)</t>
  </si>
  <si>
    <t>Configuration du client Ollama Python + Service de Prompt Engineering (RAG local Llama 3.1 8B)</t>
  </si>
  <si>
    <t>Tests pytest (mock Ollama) + Vitest interface de génération + Ajout logs de performance (&lt; 60s)</t>
  </si>
  <si>
    <t>Algorithme backend de vérification automatique des réponses et calcul de la note brute sur 10</t>
  </si>
  <si>
    <t>Liaison front-end du bouton "Soumettre" (payload JSON des 10 choix de l'étudiant) + redirection auto</t>
  </si>
  <si>
    <t>Tests d'intégration API de soumission et vérification des cas limites (quiz incomplet, réponses vides)</t>
  </si>
  <si>
    <t>Composant de feedback visuel affichant pour chaque question : choix utilisateur vs bonne réponse</t>
  </si>
  <si>
    <t>Ajout du bouton "Refaire le quiz" redirigeant vers l'instance de quiz correspondante avec reset des états</t>
  </si>
  <si>
    <t>Tests de régression sur le cycle complet d'historisation et validation de non-Régression UX</t>
  </si>
  <si>
    <t>US-03</t>
  </si>
  <si>
    <t>T-03.1</t>
  </si>
  <si>
    <t>Modèles Django Quiz et Question (Foreign Key vers Course, texte, options, bonne réponse) + migration</t>
  </si>
  <si>
    <t>T-03.2</t>
  </si>
  <si>
    <t>T-03.3</t>
  </si>
  <si>
    <t>Endpoint POST /api/quiz/generate (parsing du JSON strict retourné par Ollama et persistance)</t>
  </si>
  <si>
    <t>US-04</t>
  </si>
  <si>
    <t>Page React /quiz (Layout de rendu des 10 questions, état local des sélections, blocage du re-render)</t>
  </si>
  <si>
    <t>T-03.4</t>
  </si>
  <si>
    <t>T-03.5</t>
  </si>
  <si>
    <t>T-04.1</t>
  </si>
  <si>
    <t>T-04.2</t>
  </si>
  <si>
    <t>T-04.3</t>
  </si>
  <si>
    <t>T-04.4</t>
  </si>
  <si>
    <t>Modèle Django UserResponse pour stocker les choix de l'étudiant + endpoint POST /api/quiz/&lt;id&gt;/submit</t>
  </si>
  <si>
    <t>US-05</t>
  </si>
  <si>
    <t>T-05.1</t>
  </si>
  <si>
    <t>T-05.2</t>
  </si>
  <si>
    <t>T-05.3</t>
  </si>
  <si>
    <t>Endpoint GET /api/quiz/&lt;id&gt;/results renvoyant le score, le statut bon/mauvais et la correction détaillée</t>
  </si>
  <si>
    <t>Page React /resultat (Affichage dynamique du score/10 avec code couleur vert/rouge)</t>
  </si>
  <si>
    <t>US-06</t>
  </si>
  <si>
    <t>Endpoint GET /api/history avec filtrage par user_id, tri date_created descendant et sérialiseur optimisé</t>
  </si>
  <si>
    <t>T-06.1</t>
  </si>
  <si>
    <t>T-06.2</t>
  </si>
  <si>
    <t>T-06.3</t>
  </si>
  <si>
    <t>T-06.4</t>
  </si>
  <si>
    <t>Page React /historique avec affichage sous forme de tableau scannable (Titre cours, Date, Note/10)</t>
  </si>
  <si>
    <t>Lundi [29/06/2026, 14h00 à 18h00 (4 h)</t>
  </si>
  <si>
    <t>[ 29/06/2026 HHhMM ]</t>
  </si>
  <si>
    <t>Kephren</t>
  </si>
  <si>
    <t>Abdelhadi</t>
  </si>
  <si>
    <t>Abdelhadi MOUMOU, Karam DHIFI, Kephren BIBANG, Jason DAHMOUN, Julie SAINT MARTIN, Mathis PENAGOS, Stive GAMY</t>
  </si>
  <si>
    <t>Karam</t>
  </si>
  <si>
    <t>Jason</t>
  </si>
  <si>
    <t>Julie</t>
  </si>
  <si>
    <t>Mathis</t>
  </si>
  <si>
    <t>Stive</t>
  </si>
  <si>
    <t>47 h estimées · capacité 28 h-pers · marge 12 h pour onboarding, pair-programming, setup</t>
  </si>
  <si>
    <t>☒ Oui   ☐ Partiel   ☐ Non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</si>
</sst>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b/>
      <sz val="72"/>
      <color rgb="FF1E1B4B"/>
      <name val="Calibri"/>
    </font>
    <font>
      <b/>
      <sz val="14"/>
      <color rgb="FF1E1B4B"/>
      <name val="Calibri"/>
    </font>
    <font>
      <b/>
      <sz val="10"/>
      <color rgb="FFF59E0B"/>
      <name val="Calibri"/>
    </font>
    <font>
      <b/>
      <sz val="24"/>
      <color rgb="FF1E1B4B"/>
      <name val="Calibri"/>
    </font>
    <font>
      <i/>
      <sz val="12"/>
      <color rgb="FF475569"/>
      <name val="Calibri"/>
    </font>
    <font>
      <b/>
      <sz val="11"/>
      <color rgb="FF475569"/>
      <name val="Calibri"/>
    </font>
    <font>
      <i/>
      <sz val="9"/>
      <color rgb="FF475569"/>
      <name val="Calibri"/>
    </font>
    <font>
      <b/>
      <sz val="12"/>
      <color rgb="FFF59E0B"/>
      <name val="Calibri"/>
    </font>
    <font>
      <i/>
      <sz val="10"/>
      <color rgb="FF475569"/>
      <name val="Calibri"/>
    </font>
    <font>
      <b/>
      <sz val="11"/>
      <color rgb="FF1E1B4B"/>
      <name val="Calibri"/>
    </font>
    <font>
      <i/>
      <sz val="11"/>
      <color rgb="FF475569"/>
      <name val="Calibri"/>
    </font>
    <font>
      <b/>
      <sz val="9"/>
      <color rgb="FFF59E0B"/>
      <name val="Calibri"/>
    </font>
    <font>
      <b/>
      <sz val="18"/>
      <color rgb="FF1E1B4B"/>
      <name val="Calibri"/>
    </font>
    <font>
      <b/>
      <sz val="10"/>
      <color rgb="FF1E1B4B"/>
      <name val="Calibri"/>
    </font>
    <font>
      <sz val="10"/>
      <color rgb="FF1E1B4B"/>
      <name val="Calibri"/>
    </font>
    <font>
      <b/>
      <sz val="10"/>
      <color rgb="FF16A34A"/>
      <name val="Calibri"/>
    </font>
    <font>
      <b/>
      <sz val="10"/>
      <color rgb="FFDC2626"/>
      <name val="Calibri"/>
    </font>
    <font>
      <b/>
      <sz val="11"/>
      <color rgb="FFFFFFFF"/>
      <name val="Calibri"/>
    </font>
    <font>
      <b/>
      <sz val="11"/>
      <color rgb="FF1E1B4B"/>
      <name val="Calibri"/>
    </font>
    <font>
      <b/>
      <sz val="10"/>
      <color rgb="FF475569"/>
      <name val="Calibri"/>
    </font>
    <font>
      <b/>
      <sz val="10"/>
      <color rgb="FFB45309"/>
      <name val="Calibri"/>
    </font>
    <font>
      <sz val="10"/>
      <color rgb="FF1E1B4B"/>
      <name val="Calibri"/>
      <family val="2"/>
    </font>
    <font>
      <b/>
      <sz val="10"/>
      <color rgb="FF1E1B4B"/>
      <name val="Calibri"/>
      <family val="2"/>
    </font>
    <font>
      <sz val="8"/>
      <name val="Calibri"/>
      <family val="2"/>
      <scheme val="minor"/>
    </font>
    <font>
      <i/>
      <sz val="11"/>
      <color rgb="FF475569"/>
      <name val="Calibri"/>
      <family val="2"/>
    </font>
    <font>
      <i/>
      <sz val="10"/>
      <color rgb="FF475569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8FAFC"/>
        <bgColor rgb="FFF8FAFC"/>
      </patternFill>
    </fill>
    <fill>
      <patternFill patternType="solid">
        <fgColor rgb="FF1E1B4B"/>
        <bgColor rgb="FF1E1B4B"/>
      </patternFill>
    </fill>
    <fill>
      <patternFill patternType="solid">
        <fgColor rgb="FFEEF2FF"/>
        <bgColor rgb="FFEEF2FF"/>
      </patternFill>
    </fill>
    <fill>
      <patternFill patternType="solid">
        <fgColor rgb="FFFFFBEB"/>
        <bgColor rgb="FFFFFBEB"/>
      </patternFill>
    </fill>
    <fill>
      <patternFill patternType="solid">
        <fgColor rgb="FFE0E7FF"/>
        <bgColor rgb="FFE0E7FF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1" xfId="0" applyFont="1" applyFill="1" applyBorder="1"/>
    <xf numFmtId="0" fontId="11" fillId="0" borderId="1" xfId="0" applyFont="1" applyBorder="1"/>
    <xf numFmtId="0" fontId="12" fillId="0" borderId="0" xfId="0" applyFont="1"/>
    <xf numFmtId="0" fontId="13" fillId="0" borderId="0" xfId="0" applyFont="1"/>
    <xf numFmtId="0" fontId="14" fillId="2" borderId="2" xfId="0" applyFont="1" applyFill="1" applyBorder="1"/>
    <xf numFmtId="0" fontId="15" fillId="0" borderId="2" xfId="0" applyFont="1" applyBorder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vertical="center" wrapText="1"/>
    </xf>
    <xf numFmtId="0" fontId="15" fillId="4" borderId="2" xfId="0" applyFont="1" applyFill="1" applyBorder="1" applyAlignment="1">
      <alignment vertical="center" wrapText="1"/>
    </xf>
    <xf numFmtId="0" fontId="15" fillId="4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vertical="center" wrapText="1"/>
    </xf>
    <xf numFmtId="0" fontId="15" fillId="5" borderId="2" xfId="0" applyFont="1" applyFill="1" applyBorder="1" applyAlignment="1">
      <alignment vertical="center" wrapText="1"/>
    </xf>
    <xf numFmtId="0" fontId="15" fillId="5" borderId="2" xfId="0" applyFont="1" applyFill="1" applyBorder="1" applyAlignment="1">
      <alignment horizontal="center" vertical="center"/>
    </xf>
    <xf numFmtId="0" fontId="19" fillId="6" borderId="2" xfId="0" applyFont="1" applyFill="1" applyBorder="1"/>
    <xf numFmtId="0" fontId="0" fillId="6" borderId="2" xfId="0" applyFill="1" applyBorder="1"/>
    <xf numFmtId="0" fontId="20" fillId="0" borderId="0" xfId="0" applyFont="1"/>
    <xf numFmtId="0" fontId="21" fillId="0" borderId="0" xfId="0" applyFont="1"/>
    <xf numFmtId="0" fontId="14" fillId="0" borderId="2" xfId="0" applyFont="1" applyBorder="1" applyAlignment="1">
      <alignment vertical="center" wrapText="1"/>
    </xf>
    <xf numFmtId="0" fontId="15" fillId="0" borderId="2" xfId="0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23" fillId="5" borderId="2" xfId="0" applyFont="1" applyFill="1" applyBorder="1" applyAlignment="1">
      <alignment vertical="center" wrapText="1"/>
    </xf>
    <xf numFmtId="0" fontId="22" fillId="5" borderId="2" xfId="0" applyFont="1" applyFill="1" applyBorder="1" applyAlignment="1">
      <alignment vertical="center" wrapText="1"/>
    </xf>
    <xf numFmtId="0" fontId="15" fillId="5" borderId="2" xfId="0" applyFont="1" applyFill="1" applyBorder="1" applyAlignment="1">
      <alignment horizontal="left" vertical="center"/>
    </xf>
    <xf numFmtId="0" fontId="23" fillId="4" borderId="2" xfId="0" applyFont="1" applyFill="1" applyBorder="1" applyAlignment="1">
      <alignment vertical="center" wrapText="1"/>
    </xf>
    <xf numFmtId="0" fontId="15" fillId="4" borderId="2" xfId="0" applyFont="1" applyFill="1" applyBorder="1" applyAlignment="1">
      <alignment horizontal="center" vertical="center" wrapText="1"/>
    </xf>
    <xf numFmtId="0" fontId="22" fillId="0" borderId="2" xfId="0" applyFont="1" applyBorder="1" applyAlignment="1">
      <alignment vertical="center" wrapText="1"/>
    </xf>
    <xf numFmtId="0" fontId="25" fillId="0" borderId="1" xfId="0" applyFont="1" applyBorder="1"/>
    <xf numFmtId="0" fontId="15" fillId="5" borderId="2" xfId="0" applyFont="1" applyFill="1" applyBorder="1" applyAlignment="1">
      <alignment horizontal="center" vertical="center" wrapText="1"/>
    </xf>
    <xf numFmtId="0" fontId="22" fillId="4" borderId="2" xfId="0" applyFont="1" applyFill="1" applyBorder="1" applyAlignment="1">
      <alignment vertical="center" wrapText="1"/>
    </xf>
    <xf numFmtId="0" fontId="26" fillId="6" borderId="2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1"/>
  <sheetViews>
    <sheetView showGridLines="0" tabSelected="1" topLeftCell="A2" workbookViewId="0"/>
  </sheetViews>
  <sheetFormatPr baseColWidth="10" defaultColWidth="8.83203125" defaultRowHeight="15" x14ac:dyDescent="0.2"/>
  <cols>
    <col min="1" max="1" width="4" customWidth="1"/>
    <col min="2" max="2" width="90" customWidth="1"/>
  </cols>
  <sheetData>
    <row r="2" spans="2:2" ht="92" x14ac:dyDescent="1">
      <c r="B2" s="1" t="s">
        <v>0</v>
      </c>
    </row>
    <row r="4" spans="2:2" ht="19" x14ac:dyDescent="0.25">
      <c r="B4" s="2" t="s">
        <v>1</v>
      </c>
    </row>
    <row r="8" spans="2:2" x14ac:dyDescent="0.2">
      <c r="B8" s="3" t="s">
        <v>2</v>
      </c>
    </row>
    <row r="10" spans="2:2" ht="31" x14ac:dyDescent="0.35">
      <c r="B10" s="4" t="s">
        <v>3</v>
      </c>
    </row>
    <row r="12" spans="2:2" ht="16" x14ac:dyDescent="0.2">
      <c r="B12" s="5" t="s">
        <v>4</v>
      </c>
    </row>
    <row r="20" spans="2:2" x14ac:dyDescent="0.2">
      <c r="B20" s="6" t="s">
        <v>5</v>
      </c>
    </row>
    <row r="21" spans="2:2" x14ac:dyDescent="0.2">
      <c r="B21" s="7" t="s">
        <v>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13"/>
  <sheetViews>
    <sheetView showGridLines="0" workbookViewId="0">
      <selection activeCell="F8" sqref="F8"/>
    </sheetView>
  </sheetViews>
  <sheetFormatPr baseColWidth="10" defaultColWidth="8.83203125" defaultRowHeight="15" x14ac:dyDescent="0.2"/>
  <cols>
    <col min="1" max="1" width="2" customWidth="1"/>
    <col min="2" max="2" width="25" customWidth="1"/>
    <col min="3" max="3" width="60" customWidth="1"/>
  </cols>
  <sheetData>
    <row r="2" spans="2:3" ht="16" x14ac:dyDescent="0.2">
      <c r="B2" s="8" t="s">
        <v>7</v>
      </c>
    </row>
    <row r="3" spans="2:3" x14ac:dyDescent="0.2">
      <c r="B3" s="9" t="s">
        <v>8</v>
      </c>
    </row>
    <row r="5" spans="2:3" ht="22" customHeight="1" x14ac:dyDescent="0.2">
      <c r="B5" s="10" t="s">
        <v>9</v>
      </c>
      <c r="C5" s="11">
        <v>17</v>
      </c>
    </row>
    <row r="6" spans="2:3" ht="22" customHeight="1" x14ac:dyDescent="0.2">
      <c r="B6" s="10" t="s">
        <v>10</v>
      </c>
      <c r="C6" s="39" t="s">
        <v>170</v>
      </c>
    </row>
    <row r="7" spans="2:3" ht="22" customHeight="1" x14ac:dyDescent="0.2">
      <c r="B7" s="10" t="s">
        <v>11</v>
      </c>
      <c r="C7" s="11" t="s">
        <v>12</v>
      </c>
    </row>
    <row r="8" spans="2:3" ht="22" customHeight="1" x14ac:dyDescent="0.2">
      <c r="B8" s="10" t="s">
        <v>13</v>
      </c>
      <c r="C8" s="11" t="s">
        <v>14</v>
      </c>
    </row>
    <row r="9" spans="2:3" ht="22" customHeight="1" x14ac:dyDescent="0.2">
      <c r="B9" s="10" t="s">
        <v>15</v>
      </c>
      <c r="C9" s="39" t="s">
        <v>167</v>
      </c>
    </row>
    <row r="10" spans="2:3" ht="22" customHeight="1" x14ac:dyDescent="0.2">
      <c r="B10" s="10" t="s">
        <v>16</v>
      </c>
      <c r="C10" s="11" t="s">
        <v>17</v>
      </c>
    </row>
    <row r="12" spans="2:3" x14ac:dyDescent="0.2">
      <c r="B12" s="12" t="s">
        <v>18</v>
      </c>
    </row>
    <row r="13" spans="2:3" x14ac:dyDescent="0.2">
      <c r="B13" s="7" t="s">
        <v>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1"/>
  <sheetViews>
    <sheetView showGridLines="0" workbookViewId="0">
      <pane ySplit="19" topLeftCell="A20" activePane="bottomLeft" state="frozen"/>
      <selection pane="bottomLeft" activeCell="H44" sqref="H44"/>
    </sheetView>
  </sheetViews>
  <sheetFormatPr baseColWidth="10" defaultColWidth="8.83203125" defaultRowHeight="15" x14ac:dyDescent="0.2"/>
  <cols>
    <col min="1" max="2" width="10" customWidth="1"/>
    <col min="3" max="3" width="45" customWidth="1"/>
    <col min="4" max="4" width="13" customWidth="1"/>
    <col min="5" max="5" width="10" customWidth="1"/>
    <col min="6" max="7" width="11" customWidth="1"/>
  </cols>
  <sheetData>
    <row r="1" spans="1:2" ht="24" x14ac:dyDescent="0.3">
      <c r="A1" s="13" t="s">
        <v>20</v>
      </c>
    </row>
    <row r="2" spans="1:2" x14ac:dyDescent="0.2">
      <c r="A2" s="9" t="s">
        <v>21</v>
      </c>
    </row>
    <row r="4" spans="1:2" ht="16" x14ac:dyDescent="0.2">
      <c r="A4" s="8" t="s">
        <v>22</v>
      </c>
    </row>
    <row r="5" spans="1:2" ht="22" customHeight="1" x14ac:dyDescent="0.2">
      <c r="A5" s="14" t="s">
        <v>23</v>
      </c>
      <c r="B5" s="15" t="s">
        <v>24</v>
      </c>
    </row>
    <row r="6" spans="1:2" ht="22" customHeight="1" x14ac:dyDescent="0.2">
      <c r="A6" s="14" t="s">
        <v>25</v>
      </c>
      <c r="B6" s="38" t="s">
        <v>166</v>
      </c>
    </row>
    <row r="7" spans="1:2" ht="22" customHeight="1" x14ac:dyDescent="0.2">
      <c r="A7" s="14" t="s">
        <v>26</v>
      </c>
      <c r="B7" s="38" t="s">
        <v>27</v>
      </c>
    </row>
    <row r="8" spans="1:2" ht="22" customHeight="1" x14ac:dyDescent="0.2">
      <c r="A8" s="14" t="s">
        <v>28</v>
      </c>
      <c r="B8" s="15" t="s">
        <v>29</v>
      </c>
    </row>
    <row r="9" spans="1:2" ht="22" customHeight="1" x14ac:dyDescent="0.2">
      <c r="A9" s="14" t="s">
        <v>30</v>
      </c>
      <c r="B9" s="15" t="s">
        <v>31</v>
      </c>
    </row>
    <row r="10" spans="1:2" ht="22" customHeight="1" x14ac:dyDescent="0.2">
      <c r="A10" s="14" t="s">
        <v>32</v>
      </c>
      <c r="B10" s="15" t="s">
        <v>33</v>
      </c>
    </row>
    <row r="11" spans="1:2" ht="22" customHeight="1" x14ac:dyDescent="0.2">
      <c r="A11" s="14" t="s">
        <v>34</v>
      </c>
      <c r="B11" s="15" t="s">
        <v>35</v>
      </c>
    </row>
    <row r="12" spans="1:2" ht="22" customHeight="1" x14ac:dyDescent="0.2">
      <c r="A12" s="14" t="s">
        <v>36</v>
      </c>
      <c r="B12" s="15" t="s">
        <v>35</v>
      </c>
    </row>
    <row r="14" spans="1:2" x14ac:dyDescent="0.2">
      <c r="A14" s="3" t="s">
        <v>37</v>
      </c>
      <c r="B14" s="9" t="s">
        <v>38</v>
      </c>
    </row>
    <row r="15" spans="1:2" x14ac:dyDescent="0.2">
      <c r="A15" s="3" t="s">
        <v>39</v>
      </c>
      <c r="B15" s="9" t="s">
        <v>40</v>
      </c>
    </row>
    <row r="16" spans="1:2" x14ac:dyDescent="0.2">
      <c r="A16" s="16" t="s">
        <v>41</v>
      </c>
      <c r="B16" s="9" t="s">
        <v>42</v>
      </c>
    </row>
    <row r="17" spans="1:7" x14ac:dyDescent="0.2">
      <c r="A17" s="17" t="s">
        <v>43</v>
      </c>
      <c r="B17" s="9" t="s">
        <v>44</v>
      </c>
    </row>
    <row r="19" spans="1:7" ht="16" x14ac:dyDescent="0.2">
      <c r="A19" s="18" t="s">
        <v>45</v>
      </c>
      <c r="B19" s="18" t="s">
        <v>46</v>
      </c>
      <c r="C19" s="18" t="s">
        <v>47</v>
      </c>
      <c r="D19" s="18" t="s">
        <v>48</v>
      </c>
      <c r="E19" s="18" t="s">
        <v>49</v>
      </c>
      <c r="F19" s="18" t="s">
        <v>50</v>
      </c>
      <c r="G19" s="18" t="s">
        <v>16</v>
      </c>
    </row>
    <row r="20" spans="1:7" ht="30" customHeight="1" x14ac:dyDescent="0.2">
      <c r="A20" s="19" t="s">
        <v>51</v>
      </c>
      <c r="B20" s="19" t="s">
        <v>52</v>
      </c>
      <c r="C20" s="20" t="s">
        <v>53</v>
      </c>
      <c r="D20" s="41" t="s">
        <v>169</v>
      </c>
      <c r="E20" s="21">
        <v>1</v>
      </c>
      <c r="F20" s="21">
        <v>1</v>
      </c>
      <c r="G20" s="20" t="s">
        <v>54</v>
      </c>
    </row>
    <row r="21" spans="1:7" ht="30" customHeight="1" x14ac:dyDescent="0.2">
      <c r="A21" s="19" t="s">
        <v>51</v>
      </c>
      <c r="B21" s="19" t="s">
        <v>55</v>
      </c>
      <c r="C21" s="20" t="s">
        <v>56</v>
      </c>
      <c r="D21" s="41" t="s">
        <v>171</v>
      </c>
      <c r="E21" s="21">
        <v>2</v>
      </c>
      <c r="F21" s="21">
        <v>2</v>
      </c>
      <c r="G21" s="20" t="s">
        <v>54</v>
      </c>
    </row>
    <row r="22" spans="1:7" ht="30" customHeight="1" x14ac:dyDescent="0.2">
      <c r="A22" s="19" t="s">
        <v>51</v>
      </c>
      <c r="B22" s="19" t="s">
        <v>57</v>
      </c>
      <c r="C22" s="20" t="s">
        <v>58</v>
      </c>
      <c r="D22" s="41" t="s">
        <v>168</v>
      </c>
      <c r="E22" s="21">
        <v>3</v>
      </c>
      <c r="F22" s="21">
        <v>3</v>
      </c>
      <c r="G22" s="20" t="s">
        <v>54</v>
      </c>
    </row>
    <row r="23" spans="1:7" ht="30" customHeight="1" x14ac:dyDescent="0.2">
      <c r="A23" s="19" t="s">
        <v>51</v>
      </c>
      <c r="B23" s="19" t="s">
        <v>59</v>
      </c>
      <c r="C23" s="20" t="s">
        <v>60</v>
      </c>
      <c r="D23" s="41" t="s">
        <v>172</v>
      </c>
      <c r="E23" s="21">
        <v>1</v>
      </c>
      <c r="F23" s="21">
        <v>1</v>
      </c>
      <c r="G23" s="20" t="s">
        <v>54</v>
      </c>
    </row>
    <row r="24" spans="1:7" ht="30" customHeight="1" x14ac:dyDescent="0.2">
      <c r="A24" s="22" t="s">
        <v>61</v>
      </c>
      <c r="B24" s="22" t="s">
        <v>62</v>
      </c>
      <c r="C24" s="23" t="s">
        <v>63</v>
      </c>
      <c r="D24" s="23" t="s">
        <v>169</v>
      </c>
      <c r="E24" s="24">
        <v>1</v>
      </c>
      <c r="F24" s="24">
        <v>1</v>
      </c>
      <c r="G24" s="23" t="s">
        <v>54</v>
      </c>
    </row>
    <row r="25" spans="1:7" ht="30" customHeight="1" x14ac:dyDescent="0.2">
      <c r="A25" s="22" t="s">
        <v>61</v>
      </c>
      <c r="B25" s="22" t="s">
        <v>64</v>
      </c>
      <c r="C25" s="23" t="s">
        <v>65</v>
      </c>
      <c r="D25" s="23" t="s">
        <v>171</v>
      </c>
      <c r="E25" s="24">
        <v>3</v>
      </c>
      <c r="F25" s="24">
        <v>3</v>
      </c>
      <c r="G25" s="23" t="s">
        <v>54</v>
      </c>
    </row>
    <row r="26" spans="1:7" ht="30" customHeight="1" x14ac:dyDescent="0.2">
      <c r="A26" s="22" t="s">
        <v>61</v>
      </c>
      <c r="B26" s="22" t="s">
        <v>66</v>
      </c>
      <c r="C26" s="23" t="s">
        <v>67</v>
      </c>
      <c r="D26" s="34" t="s">
        <v>173</v>
      </c>
      <c r="E26" s="24">
        <v>1</v>
      </c>
      <c r="F26" s="24">
        <v>1</v>
      </c>
      <c r="G26" s="23" t="s">
        <v>54</v>
      </c>
    </row>
    <row r="27" spans="1:7" ht="30" customHeight="1" x14ac:dyDescent="0.2">
      <c r="A27" s="22" t="s">
        <v>61</v>
      </c>
      <c r="B27" s="22" t="s">
        <v>68</v>
      </c>
      <c r="C27" s="23" t="s">
        <v>69</v>
      </c>
      <c r="D27" s="34" t="s">
        <v>174</v>
      </c>
      <c r="E27" s="24">
        <v>3</v>
      </c>
      <c r="F27" s="24">
        <v>3</v>
      </c>
      <c r="G27" s="23" t="s">
        <v>54</v>
      </c>
    </row>
    <row r="28" spans="1:7" ht="30" customHeight="1" x14ac:dyDescent="0.2">
      <c r="A28" s="22" t="s">
        <v>61</v>
      </c>
      <c r="B28" s="22" t="s">
        <v>70</v>
      </c>
      <c r="C28" s="23" t="s">
        <v>71</v>
      </c>
      <c r="D28" s="23" t="s">
        <v>172</v>
      </c>
      <c r="E28" s="24">
        <v>1</v>
      </c>
      <c r="F28" s="24">
        <v>1</v>
      </c>
      <c r="G28" s="23" t="s">
        <v>54</v>
      </c>
    </row>
    <row r="29" spans="1:7" ht="30" customHeight="1" x14ac:dyDescent="0.2">
      <c r="A29" s="19" t="s">
        <v>138</v>
      </c>
      <c r="B29" s="19" t="s">
        <v>139</v>
      </c>
      <c r="C29" s="20" t="s">
        <v>140</v>
      </c>
      <c r="D29" s="41" t="s">
        <v>169</v>
      </c>
      <c r="E29" s="21">
        <v>2</v>
      </c>
      <c r="F29" s="21">
        <v>2</v>
      </c>
      <c r="G29" s="20" t="s">
        <v>54</v>
      </c>
    </row>
    <row r="30" spans="1:7" ht="30" customHeight="1" x14ac:dyDescent="0.2">
      <c r="A30" s="19" t="s">
        <v>138</v>
      </c>
      <c r="B30" s="19" t="s">
        <v>141</v>
      </c>
      <c r="C30" s="20" t="s">
        <v>130</v>
      </c>
      <c r="D30" s="20" t="s">
        <v>171</v>
      </c>
      <c r="E30" s="21">
        <v>3</v>
      </c>
      <c r="F30" s="21">
        <v>3</v>
      </c>
      <c r="G30" s="20" t="s">
        <v>54</v>
      </c>
    </row>
    <row r="31" spans="1:7" ht="30" customHeight="1" x14ac:dyDescent="0.2">
      <c r="A31" s="19" t="s">
        <v>138</v>
      </c>
      <c r="B31" s="19" t="s">
        <v>142</v>
      </c>
      <c r="C31" s="20" t="s">
        <v>143</v>
      </c>
      <c r="D31" s="20" t="s">
        <v>173</v>
      </c>
      <c r="E31" s="21">
        <v>3</v>
      </c>
      <c r="F31" s="21">
        <v>3</v>
      </c>
      <c r="G31" s="20" t="s">
        <v>54</v>
      </c>
    </row>
    <row r="32" spans="1:7" ht="30" customHeight="1" x14ac:dyDescent="0.2">
      <c r="A32" s="19" t="s">
        <v>138</v>
      </c>
      <c r="B32" s="19" t="s">
        <v>146</v>
      </c>
      <c r="C32" s="20" t="s">
        <v>145</v>
      </c>
      <c r="D32" s="20" t="s">
        <v>168</v>
      </c>
      <c r="E32" s="21">
        <v>3</v>
      </c>
      <c r="F32" s="21">
        <v>3</v>
      </c>
      <c r="G32" s="20" t="s">
        <v>54</v>
      </c>
    </row>
    <row r="33" spans="1:7" ht="30" customHeight="1" x14ac:dyDescent="0.2">
      <c r="A33" s="19" t="s">
        <v>138</v>
      </c>
      <c r="B33" s="19" t="s">
        <v>147</v>
      </c>
      <c r="C33" s="20" t="s">
        <v>131</v>
      </c>
      <c r="D33" s="20" t="s">
        <v>172</v>
      </c>
      <c r="E33" s="21">
        <v>2</v>
      </c>
      <c r="F33" s="21">
        <v>2</v>
      </c>
      <c r="G33" s="20" t="s">
        <v>54</v>
      </c>
    </row>
    <row r="34" spans="1:7" ht="30" customHeight="1" x14ac:dyDescent="0.2">
      <c r="A34" s="33" t="s">
        <v>144</v>
      </c>
      <c r="B34" s="33" t="s">
        <v>148</v>
      </c>
      <c r="C34" s="34" t="s">
        <v>152</v>
      </c>
      <c r="D34" s="23" t="s">
        <v>169</v>
      </c>
      <c r="E34" s="24">
        <v>2</v>
      </c>
      <c r="F34" s="24">
        <v>2</v>
      </c>
      <c r="G34" s="35" t="s">
        <v>54</v>
      </c>
    </row>
    <row r="35" spans="1:7" ht="30" customHeight="1" x14ac:dyDescent="0.2">
      <c r="A35" s="33" t="s">
        <v>144</v>
      </c>
      <c r="B35" s="33" t="s">
        <v>149</v>
      </c>
      <c r="C35" s="34" t="s">
        <v>132</v>
      </c>
      <c r="D35" s="34" t="s">
        <v>171</v>
      </c>
      <c r="E35" s="24">
        <v>1</v>
      </c>
      <c r="F35" s="24">
        <v>1</v>
      </c>
      <c r="G35" s="35" t="s">
        <v>54</v>
      </c>
    </row>
    <row r="36" spans="1:7" ht="30" customHeight="1" x14ac:dyDescent="0.2">
      <c r="A36" s="33" t="s">
        <v>144</v>
      </c>
      <c r="B36" s="33" t="s">
        <v>150</v>
      </c>
      <c r="C36" s="34" t="s">
        <v>133</v>
      </c>
      <c r="D36" s="23" t="s">
        <v>174</v>
      </c>
      <c r="E36" s="24">
        <v>2</v>
      </c>
      <c r="F36" s="24">
        <v>2</v>
      </c>
      <c r="G36" s="35" t="s">
        <v>54</v>
      </c>
    </row>
    <row r="37" spans="1:7" ht="30" customHeight="1" x14ac:dyDescent="0.2">
      <c r="A37" s="33" t="s">
        <v>144</v>
      </c>
      <c r="B37" s="33" t="s">
        <v>151</v>
      </c>
      <c r="C37" s="34" t="s">
        <v>134</v>
      </c>
      <c r="D37" s="23" t="s">
        <v>172</v>
      </c>
      <c r="E37" s="24">
        <v>1</v>
      </c>
      <c r="F37" s="24">
        <v>1</v>
      </c>
      <c r="G37" s="35" t="s">
        <v>54</v>
      </c>
    </row>
    <row r="38" spans="1:7" ht="30" customHeight="1" x14ac:dyDescent="0.2">
      <c r="A38" s="36" t="s">
        <v>153</v>
      </c>
      <c r="B38" s="36" t="s">
        <v>154</v>
      </c>
      <c r="C38" s="20" t="s">
        <v>157</v>
      </c>
      <c r="D38" s="20" t="s">
        <v>169</v>
      </c>
      <c r="E38" s="37">
        <v>2</v>
      </c>
      <c r="F38" s="37">
        <v>2</v>
      </c>
      <c r="G38" s="20" t="s">
        <v>54</v>
      </c>
    </row>
    <row r="39" spans="1:7" ht="30" customHeight="1" x14ac:dyDescent="0.2">
      <c r="A39" s="36" t="s">
        <v>153</v>
      </c>
      <c r="B39" s="36" t="s">
        <v>155</v>
      </c>
      <c r="C39" s="20" t="s">
        <v>158</v>
      </c>
      <c r="D39" s="20" t="s">
        <v>168</v>
      </c>
      <c r="E39" s="37">
        <v>2</v>
      </c>
      <c r="F39" s="37">
        <v>2</v>
      </c>
      <c r="G39" s="20" t="s">
        <v>54</v>
      </c>
    </row>
    <row r="40" spans="1:7" ht="30" customHeight="1" x14ac:dyDescent="0.2">
      <c r="A40" s="36" t="s">
        <v>153</v>
      </c>
      <c r="B40" s="36" t="s">
        <v>156</v>
      </c>
      <c r="C40" s="20" t="s">
        <v>135</v>
      </c>
      <c r="D40" s="20" t="s">
        <v>174</v>
      </c>
      <c r="E40" s="37">
        <v>2</v>
      </c>
      <c r="F40" s="37">
        <v>2</v>
      </c>
      <c r="G40" s="20" t="s">
        <v>54</v>
      </c>
    </row>
    <row r="41" spans="1:7" ht="30" customHeight="1" x14ac:dyDescent="0.2">
      <c r="A41" s="33" t="s">
        <v>159</v>
      </c>
      <c r="B41" s="33" t="s">
        <v>161</v>
      </c>
      <c r="C41" s="23" t="s">
        <v>160</v>
      </c>
      <c r="D41" s="23" t="s">
        <v>173</v>
      </c>
      <c r="E41" s="40">
        <v>2</v>
      </c>
      <c r="F41" s="40">
        <v>2</v>
      </c>
      <c r="G41" s="23" t="s">
        <v>54</v>
      </c>
    </row>
    <row r="42" spans="1:7" ht="30" customHeight="1" x14ac:dyDescent="0.2">
      <c r="A42" s="33" t="s">
        <v>159</v>
      </c>
      <c r="B42" s="33" t="s">
        <v>162</v>
      </c>
      <c r="C42" s="23" t="s">
        <v>165</v>
      </c>
      <c r="D42" s="23" t="s">
        <v>168</v>
      </c>
      <c r="E42" s="40">
        <v>2</v>
      </c>
      <c r="F42" s="40">
        <v>2</v>
      </c>
      <c r="G42" s="23" t="s">
        <v>54</v>
      </c>
    </row>
    <row r="43" spans="1:7" ht="30" customHeight="1" x14ac:dyDescent="0.2">
      <c r="A43" s="33" t="s">
        <v>159</v>
      </c>
      <c r="B43" s="33" t="s">
        <v>163</v>
      </c>
      <c r="C43" s="23" t="s">
        <v>136</v>
      </c>
      <c r="D43" s="23" t="s">
        <v>174</v>
      </c>
      <c r="E43" s="40">
        <v>1</v>
      </c>
      <c r="F43" s="40">
        <v>1</v>
      </c>
      <c r="G43" s="23" t="s">
        <v>54</v>
      </c>
    </row>
    <row r="44" spans="1:7" ht="30" customHeight="1" x14ac:dyDescent="0.2">
      <c r="A44" s="33" t="s">
        <v>159</v>
      </c>
      <c r="B44" s="33" t="s">
        <v>164</v>
      </c>
      <c r="C44" s="23" t="s">
        <v>137</v>
      </c>
      <c r="D44" s="34" t="s">
        <v>175</v>
      </c>
      <c r="E44" s="40">
        <v>1</v>
      </c>
      <c r="F44" s="40">
        <v>1</v>
      </c>
      <c r="G44" s="23" t="s">
        <v>54</v>
      </c>
    </row>
    <row r="45" spans="1:7" x14ac:dyDescent="0.2">
      <c r="A45" s="25" t="s">
        <v>72</v>
      </c>
      <c r="B45" s="26"/>
      <c r="C45" s="42" t="s">
        <v>176</v>
      </c>
      <c r="D45" s="26"/>
      <c r="E45" s="25">
        <f>SUM(E20:E44)</f>
        <v>47</v>
      </c>
      <c r="F45" s="25">
        <f>SUM(F20:F44)</f>
        <v>47</v>
      </c>
      <c r="G45" s="26"/>
    </row>
    <row r="47" spans="1:7" x14ac:dyDescent="0.2">
      <c r="A47" s="3" t="s">
        <v>73</v>
      </c>
    </row>
    <row r="48" spans="1:7" x14ac:dyDescent="0.2">
      <c r="A48" s="27" t="s">
        <v>54</v>
      </c>
      <c r="B48" s="9" t="s">
        <v>74</v>
      </c>
    </row>
    <row r="49" spans="1:2" x14ac:dyDescent="0.2">
      <c r="A49" s="28" t="s">
        <v>75</v>
      </c>
      <c r="B49" s="9" t="s">
        <v>76</v>
      </c>
    </row>
    <row r="50" spans="1:2" x14ac:dyDescent="0.2">
      <c r="A50" s="17" t="s">
        <v>77</v>
      </c>
      <c r="B50" s="9" t="s">
        <v>78</v>
      </c>
    </row>
    <row r="51" spans="1:2" x14ac:dyDescent="0.2">
      <c r="A51" s="16" t="s">
        <v>79</v>
      </c>
      <c r="B51" s="9" t="s">
        <v>80</v>
      </c>
    </row>
  </sheetData>
  <phoneticPr fontId="2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1"/>
  <sheetViews>
    <sheetView showGridLines="0" workbookViewId="0"/>
  </sheetViews>
  <sheetFormatPr baseColWidth="10" defaultColWidth="8.83203125" defaultRowHeight="15" x14ac:dyDescent="0.2"/>
  <cols>
    <col min="1" max="1" width="28" customWidth="1"/>
    <col min="2" max="3" width="22" customWidth="1"/>
    <col min="4" max="4" width="14" customWidth="1"/>
    <col min="5" max="5" width="35" customWidth="1"/>
  </cols>
  <sheetData>
    <row r="1" spans="1:5" ht="24" x14ac:dyDescent="0.3">
      <c r="A1" s="13" t="s">
        <v>81</v>
      </c>
    </row>
    <row r="2" spans="1:5" x14ac:dyDescent="0.2">
      <c r="A2" s="9" t="s">
        <v>82</v>
      </c>
    </row>
    <row r="4" spans="1:5" x14ac:dyDescent="0.2">
      <c r="A4" s="3" t="s">
        <v>83</v>
      </c>
      <c r="B4" s="9" t="s">
        <v>84</v>
      </c>
    </row>
    <row r="5" spans="1:5" x14ac:dyDescent="0.2">
      <c r="A5" s="3" t="s">
        <v>85</v>
      </c>
      <c r="B5" s="9" t="s">
        <v>86</v>
      </c>
    </row>
    <row r="7" spans="1:5" ht="16" x14ac:dyDescent="0.2">
      <c r="A7" s="18" t="s">
        <v>87</v>
      </c>
      <c r="B7" s="18" t="s">
        <v>88</v>
      </c>
      <c r="C7" s="18" t="s">
        <v>89</v>
      </c>
      <c r="D7" s="18" t="s">
        <v>90</v>
      </c>
      <c r="E7" s="18" t="s">
        <v>91</v>
      </c>
    </row>
    <row r="8" spans="1:5" ht="25" customHeight="1" x14ac:dyDescent="0.2">
      <c r="A8" s="29" t="s">
        <v>92</v>
      </c>
      <c r="B8" s="30">
        <v>16</v>
      </c>
      <c r="C8" s="30" t="s">
        <v>93</v>
      </c>
      <c r="D8" s="30"/>
      <c r="E8" s="15" t="s">
        <v>94</v>
      </c>
    </row>
    <row r="9" spans="1:5" ht="25" customHeight="1" x14ac:dyDescent="0.2">
      <c r="A9" s="29" t="s">
        <v>95</v>
      </c>
      <c r="B9" s="30">
        <v>12</v>
      </c>
      <c r="C9" s="30" t="s">
        <v>93</v>
      </c>
      <c r="D9" s="30"/>
      <c r="E9" s="15" t="s">
        <v>96</v>
      </c>
    </row>
    <row r="10" spans="1:5" ht="25" customHeight="1" x14ac:dyDescent="0.2">
      <c r="A10" s="29" t="s">
        <v>97</v>
      </c>
      <c r="B10" s="30">
        <v>8</v>
      </c>
      <c r="C10" s="30" t="s">
        <v>93</v>
      </c>
      <c r="D10" s="30"/>
      <c r="E10" s="15" t="s">
        <v>98</v>
      </c>
    </row>
    <row r="11" spans="1:5" ht="25" customHeight="1" x14ac:dyDescent="0.2">
      <c r="A11" s="29" t="s">
        <v>99</v>
      </c>
      <c r="B11" s="30">
        <v>4</v>
      </c>
      <c r="C11" s="30" t="s">
        <v>93</v>
      </c>
      <c r="D11" s="30"/>
      <c r="E11" s="15" t="s">
        <v>100</v>
      </c>
    </row>
    <row r="12" spans="1:5" ht="25" customHeight="1" x14ac:dyDescent="0.2">
      <c r="A12" s="29" t="s">
        <v>101</v>
      </c>
      <c r="B12" s="30">
        <v>0</v>
      </c>
      <c r="C12" s="30" t="s">
        <v>93</v>
      </c>
      <c r="D12" s="30"/>
      <c r="E12" s="15" t="s">
        <v>102</v>
      </c>
    </row>
    <row r="15" spans="1:5" x14ac:dyDescent="0.2">
      <c r="A15" s="3" t="s">
        <v>103</v>
      </c>
      <c r="B15" s="7" t="s">
        <v>104</v>
      </c>
    </row>
    <row r="17" spans="1:2" x14ac:dyDescent="0.2">
      <c r="A17" s="3" t="s">
        <v>105</v>
      </c>
    </row>
    <row r="18" spans="1:2" x14ac:dyDescent="0.2">
      <c r="A18" s="16" t="s">
        <v>106</v>
      </c>
      <c r="B18" s="9" t="s">
        <v>107</v>
      </c>
    </row>
    <row r="19" spans="1:2" x14ac:dyDescent="0.2">
      <c r="A19" s="28" t="s">
        <v>108</v>
      </c>
      <c r="B19" s="9" t="s">
        <v>109</v>
      </c>
    </row>
    <row r="20" spans="1:2" x14ac:dyDescent="0.2">
      <c r="A20" s="16" t="s">
        <v>110</v>
      </c>
      <c r="B20" s="9" t="s">
        <v>111</v>
      </c>
    </row>
    <row r="21" spans="1:2" x14ac:dyDescent="0.2">
      <c r="A21" s="17" t="s">
        <v>112</v>
      </c>
      <c r="B21" s="9" t="s">
        <v>113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D15"/>
  <sheetViews>
    <sheetView workbookViewId="0">
      <selection activeCell="D13" sqref="D13"/>
    </sheetView>
  </sheetViews>
  <sheetFormatPr baseColWidth="10" defaultColWidth="8.83203125" defaultRowHeight="15" x14ac:dyDescent="0.2"/>
  <cols>
    <col min="1" max="1" width="2" customWidth="1"/>
    <col min="2" max="2" width="50" customWidth="1"/>
    <col min="3" max="3" width="25" customWidth="1"/>
    <col min="4" max="4" width="40" customWidth="1"/>
  </cols>
  <sheetData>
    <row r="2" spans="1:4" ht="19" x14ac:dyDescent="0.25">
      <c r="B2" s="2" t="s">
        <v>114</v>
      </c>
    </row>
    <row r="3" spans="1:4" x14ac:dyDescent="0.2">
      <c r="B3" s="9" t="s">
        <v>115</v>
      </c>
    </row>
    <row r="5" spans="1:4" ht="16" x14ac:dyDescent="0.2">
      <c r="A5" s="18"/>
      <c r="B5" s="18" t="s">
        <v>116</v>
      </c>
      <c r="C5" s="18" t="s">
        <v>117</v>
      </c>
      <c r="D5" t="s">
        <v>118</v>
      </c>
    </row>
    <row r="6" spans="1:4" ht="30" customHeight="1" x14ac:dyDescent="0.2">
      <c r="B6" s="31" t="s">
        <v>119</v>
      </c>
      <c r="C6" s="32" t="s">
        <v>177</v>
      </c>
      <c r="D6" s="31"/>
    </row>
    <row r="7" spans="1:4" ht="30" customHeight="1" x14ac:dyDescent="0.2">
      <c r="B7" s="31" t="s">
        <v>121</v>
      </c>
      <c r="C7" s="32" t="s">
        <v>177</v>
      </c>
      <c r="D7" s="31"/>
    </row>
    <row r="8" spans="1:4" ht="30" customHeight="1" x14ac:dyDescent="0.2">
      <c r="B8" s="31" t="s">
        <v>122</v>
      </c>
      <c r="C8" s="32" t="s">
        <v>177</v>
      </c>
      <c r="D8" s="31"/>
    </row>
    <row r="9" spans="1:4" ht="30" customHeight="1" x14ac:dyDescent="0.2">
      <c r="B9" s="31" t="s">
        <v>123</v>
      </c>
      <c r="C9" s="32" t="s">
        <v>177</v>
      </c>
      <c r="D9" s="31"/>
    </row>
    <row r="10" spans="1:4" ht="30" customHeight="1" x14ac:dyDescent="0.2">
      <c r="B10" s="31" t="s">
        <v>124</v>
      </c>
      <c r="C10" s="32" t="s">
        <v>177</v>
      </c>
      <c r="D10" s="31"/>
    </row>
    <row r="11" spans="1:4" ht="30" customHeight="1" x14ac:dyDescent="0.2">
      <c r="B11" s="31" t="s">
        <v>125</v>
      </c>
      <c r="C11" s="32" t="s">
        <v>177</v>
      </c>
      <c r="D11" s="31"/>
    </row>
    <row r="12" spans="1:4" ht="30" customHeight="1" x14ac:dyDescent="0.2">
      <c r="B12" s="31" t="s">
        <v>126</v>
      </c>
      <c r="C12" s="32" t="s">
        <v>120</v>
      </c>
      <c r="D12" s="31"/>
    </row>
    <row r="13" spans="1:4" ht="30" customHeight="1" x14ac:dyDescent="0.2">
      <c r="B13" s="31" t="s">
        <v>127</v>
      </c>
      <c r="C13" s="32" t="s">
        <v>120</v>
      </c>
      <c r="D13" s="31"/>
    </row>
    <row r="14" spans="1:4" ht="30" customHeight="1" x14ac:dyDescent="0.2">
      <c r="B14" s="31" t="s">
        <v>128</v>
      </c>
      <c r="C14" s="32" t="s">
        <v>120</v>
      </c>
      <c r="D14" s="31"/>
    </row>
    <row r="15" spans="1:4" ht="30" customHeight="1" x14ac:dyDescent="0.2">
      <c r="B15" s="31" t="s">
        <v>129</v>
      </c>
      <c r="C15" s="32" t="s">
        <v>120</v>
      </c>
      <c r="D15" s="3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Garde</vt:lpstr>
      <vt:lpstr>Identification</vt:lpstr>
      <vt:lpstr>Sprint 1</vt:lpstr>
      <vt:lpstr>Burndown Sprint 1</vt:lpstr>
      <vt:lpstr>Auto-évaluation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2026-06-25T22:39:08Z</dcterms:created>
  <dcterms:modified xsi:type="dcterms:W3CDTF">2026-06-29T12:26:02Z</dcterms:modified>
</cp:coreProperties>
</file>