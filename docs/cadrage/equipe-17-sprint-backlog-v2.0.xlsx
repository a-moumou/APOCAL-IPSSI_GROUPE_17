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Sprint 2" sheetId="5" state="visible" r:id="rId5"/>
    <sheet xmlns:r="http://schemas.openxmlformats.org/officeDocument/2006/relationships" name="Auto-évaluation" sheetId="6" state="visible" r:id="rId6"/>
  </sheets>
  <definedNames>
    <definedName name="_xlchart.v1.5" hidden="1">'Burndown Sprint 1'!$A$8:$A$12</definedName>
    <definedName name="_xlchart.v1.6" hidden="1">'Burndown Sprint 1'!$B$7</definedName>
    <definedName name="_xlchart.v1.7" hidden="1">'Burndown Sprint 1'!$B$8:$B$12</definedName>
    <definedName name="_xlchart.v1.8" hidden="1">'Burndown Sprint 1'!$C$7</definedName>
    <definedName name="_xlchart.v1.9" hidden="1">'Burndown Sprint 1'!$C$8:$C$12</definedName>
    <definedName name="_xlchart.v2.0" hidden="1">'Burndown Sprint 1'!$A$8:$A$12</definedName>
    <definedName name="_xlchart.v2.1" hidden="1">'Burndown Sprint 1'!$B$7</definedName>
    <definedName name="_xlchart.v2.2" hidden="1">'Burndown Sprint 1'!$B$8:$B$12</definedName>
    <definedName name="_xlchart.v2.3" hidden="1">'Burndown Sprint 1'!$C$7</definedName>
    <definedName name="_xlchart.v2.4" hidden="1">'Burndown Sprint 1'!$C$8:$C$12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475569"/>
      <sz val="11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E1B4B"/>
      <sz val="10"/>
    </font>
    <font>
      <name val="Calibri"/>
      <color rgb="FF1E1B4B"/>
      <sz val="10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b val="1"/>
      <color rgb="FF1E1B4B"/>
      <sz val="11"/>
    </font>
    <font>
      <name val="Calibri"/>
      <b val="1"/>
      <color rgb="FF475569"/>
      <sz val="10"/>
    </font>
    <font>
      <name val="Calibri"/>
      <b val="1"/>
      <color rgb="FFB45309"/>
      <sz val="10"/>
    </font>
    <font>
      <name val="Calibri"/>
      <family val="2"/>
      <color rgb="FF1E1B4B"/>
      <sz val="10"/>
    </font>
    <font>
      <name val="Calibri"/>
      <family val="2"/>
      <sz val="8"/>
      <scheme val="minor"/>
    </font>
    <font>
      <name val="Calibri"/>
      <family val="2"/>
      <i val="1"/>
      <color rgb="FF475569"/>
      <sz val="11"/>
    </font>
    <font>
      <name val="Calibri"/>
      <family val="2"/>
      <i val="1"/>
      <color rgb="FF475569"/>
      <sz val="10"/>
    </font>
    <font>
      <name val="Calibri"/>
      <b val="1"/>
      <color rgb="001E40AF"/>
      <sz val="14"/>
    </font>
    <font>
      <name val="Calibri"/>
      <i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854D0E"/>
      <sz val="10"/>
    </font>
  </fonts>
  <fills count="11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001E40AF"/>
      </patternFill>
    </fill>
    <fill>
      <patternFill patternType="solid">
        <fgColor rgb="00FEF9C3"/>
      </patternFill>
    </fill>
    <fill>
      <patternFill patternType="solid">
        <fgColor rgb="004F46E5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9" fillId="6" borderId="2" pivotButton="0" quotePrefix="0" xfId="0"/>
    <xf numFmtId="0" fontId="0" fillId="6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2" fillId="5" borderId="2" applyAlignment="1" pivotButton="0" quotePrefix="0" xfId="0">
      <alignment vertical="center" wrapText="1"/>
    </xf>
    <xf numFmtId="0" fontId="22" fillId="0" borderId="2" applyAlignment="1" pivotButton="0" quotePrefix="0" xfId="0">
      <alignment vertical="center" wrapText="1"/>
    </xf>
    <xf numFmtId="0" fontId="24" fillId="0" borderId="1" pivotButton="0" quotePrefix="0" xfId="0"/>
    <xf numFmtId="0" fontId="22" fillId="4" borderId="2" applyAlignment="1" pivotButton="0" quotePrefix="0" xfId="0">
      <alignment vertical="center" wrapText="1"/>
    </xf>
    <xf numFmtId="0" fontId="25" fillId="6" borderId="2" pivotButton="0" quotePrefix="0" xfId="0"/>
    <xf numFmtId="0" fontId="11" fillId="0" borderId="1" applyAlignment="1" pivotButton="0" quotePrefix="0" xfId="0">
      <alignment horizontal="left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7" borderId="0" applyAlignment="1" pivotButton="0" quotePrefix="0" xfId="0">
      <alignment vertical="top" wrapText="1"/>
    </xf>
    <xf numFmtId="0" fontId="31" fillId="8" borderId="0" pivotButton="0" quotePrefix="0" xfId="0"/>
    <xf numFmtId="0" fontId="29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30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Burndown - Sprint 1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268044619422572"/>
          <y val="0.300718868474774"/>
          <w val="0.9028751093613299"/>
          <h val="0.5642344706911636"/>
        </manualLayout>
      </layout>
      <lineChart>
        <grouping val="standard"/>
        <varyColors val="0"/>
        <ser>
          <idx val="0"/>
          <order val="0"/>
          <tx>
            <strRef>
              <f>'Burndown Sprint 1'!$B$7</f>
              <strCache>
                <ptCount val="1"/>
                <pt idx="0">
                  <v>Heure restante (idéal)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'Burndown Sprint 1'!$A$8:$A$12</f>
              <strCache>
                <ptCount val="5"/>
                <pt idx="0">
                  <v>14h00, Début sprint</v>
                </pt>
                <pt idx="1">
                  <v>15h00, Daily intermédiaire</v>
                </pt>
                <pt idx="2">
                  <v>16h00, Mi-sprint</v>
                </pt>
                <pt idx="3">
                  <v>17h00, Avant clôture</v>
                </pt>
                <pt idx="4">
                  <v>18h00, Fin sprint / Review</v>
                </pt>
              </strCache>
            </strRef>
          </cat>
          <val>
            <numRef>
              <f>'Burndown Sprint 1'!$B$8:$B$12</f>
              <numCache>
                <formatCode>General</formatCode>
                <ptCount val="5"/>
                <pt idx="0">
                  <v>16</v>
                </pt>
                <pt idx="1">
                  <v>12</v>
                </pt>
                <pt idx="2">
                  <v>8</v>
                </pt>
                <pt idx="3">
                  <v>4</v>
                </pt>
                <pt idx="4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'Burndown Sprint 1'!$C$7</f>
              <strCache>
                <ptCount val="1"/>
                <pt idx="0">
                  <v>Heure restante (réel)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'Burndown Sprint 1'!$A$8:$A$12</f>
              <strCache>
                <ptCount val="5"/>
                <pt idx="0">
                  <v>14h00, Début sprint</v>
                </pt>
                <pt idx="1">
                  <v>15h00, Daily intermédiaire</v>
                </pt>
                <pt idx="2">
                  <v>16h00, Mi-sprint</v>
                </pt>
                <pt idx="3">
                  <v>17h00, Avant clôture</v>
                </pt>
                <pt idx="4">
                  <v>18h00, Fin sprint / Review</v>
                </pt>
              </strCache>
            </strRef>
          </cat>
          <val>
            <numRef>
              <f>'Burndown Sprint 1'!$C$8:$C$12</f>
              <numCache>
                <formatCode>General</formatCode>
                <ptCount val="5"/>
                <pt idx="0">
                  <v>16</v>
                </pt>
                <pt idx="1">
                  <v>13</v>
                </pt>
                <pt idx="2">
                  <v>10</v>
                </pt>
                <pt idx="3">
                  <v>3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80391744"/>
        <axId val="780805264"/>
      </lineChart>
      <catAx>
        <axId val="7803917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780805264"/>
        <crosses val="autoZero"/>
        <auto val="1"/>
        <lblAlgn val="ctr"/>
        <lblOffset val="100"/>
        <noMultiLvlLbl val="0"/>
      </catAx>
      <valAx>
        <axId val="780805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7803917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565150</colOff>
      <row>3</row>
      <rowOff>38100</rowOff>
    </from>
    <to>
      <col>13</col>
      <colOff>425450</colOff>
      <row>14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topLeftCell="A2" workbookViewId="0">
      <selection activeCell="A1" sqref="A1"/>
    </sheetView>
  </sheetViews>
  <sheetFormatPr baseColWidth="10" defaultColWidth="8.83203125" defaultRowHeight="15"/>
  <cols>
    <col width="4" customWidth="1" min="1" max="1"/>
    <col width="90" customWidth="1" min="2" max="2"/>
  </cols>
  <sheetData>
    <row r="2" ht="92" customHeight="1">
      <c r="B2" s="1" t="inlineStr">
        <is>
          <t>A</t>
        </is>
      </c>
    </row>
    <row r="4" ht="19" customHeight="1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 ht="31" customHeight="1">
      <c r="B10" s="4" t="inlineStr">
        <is>
          <t>Sprint Backlog</t>
        </is>
      </c>
    </row>
    <row r="12" ht="16" customHeight="1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C10" sqref="C10"/>
    </sheetView>
  </sheetViews>
  <sheetFormatPr baseColWidth="10" defaultColWidth="8.83203125" defaultRowHeight="15"/>
  <cols>
    <col width="2" customWidth="1" min="1" max="1"/>
    <col width="25" customWidth="1" min="2" max="2"/>
    <col width="60" customWidth="1" min="3" max="3"/>
  </cols>
  <sheetData>
    <row r="1"/>
    <row r="2" ht="16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" customHeight="1">
      <c r="B5" s="10" t="inlineStr">
        <is>
          <t>Équipe n°</t>
        </is>
      </c>
      <c r="C5" s="37" t="n">
        <v>17</v>
      </c>
    </row>
    <row r="6" ht="22" customHeight="1">
      <c r="B6" s="10" t="inlineStr">
        <is>
          <t>Membres</t>
        </is>
      </c>
      <c r="C6" s="34" t="inlineStr">
        <is>
          <t>Abdelhadi MOUMOU, Karam DHIFI, Kephren BIBANG, Jason DAHMOUN, Julie SAINT MARTIN, Mathis PENAGOS, Stive GAMY</t>
        </is>
      </c>
    </row>
    <row r="7" ht="22" customHeight="1">
      <c r="B7" s="10" t="inlineStr">
        <is>
          <t>Sprint concerné</t>
        </is>
      </c>
      <c r="C7" s="34" t="inlineStr">
        <is>
          <t>Sprint 1</t>
        </is>
      </c>
    </row>
    <row r="8" ht="22" customHeight="1">
      <c r="B8" s="10" t="inlineStr">
        <is>
          <t>Version</t>
        </is>
      </c>
      <c r="C8" s="34" t="inlineStr">
        <is>
          <t>v2.0</t>
        </is>
      </c>
    </row>
    <row r="9" ht="22" customHeight="1">
      <c r="B9" s="10" t="inlineStr">
        <is>
          <t>Date de remise</t>
        </is>
      </c>
      <c r="C9" s="34" t="inlineStr">
        <is>
          <t>30/06/2026 09h00</t>
        </is>
      </c>
    </row>
    <row r="10" ht="22" customHeight="1">
      <c r="B10" s="10" t="inlineStr">
        <is>
          <t>Statut</t>
        </is>
      </c>
      <c r="C10" s="34" t="inlineStr">
        <is>
          <t>Draft</t>
        </is>
      </c>
    </row>
    <row r="11"/>
    <row r="12">
      <c r="B12" s="11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tabSelected="1" workbookViewId="0">
      <pane ySplit="19" topLeftCell="A20" activePane="bottomLeft" state="frozen"/>
      <selection pane="bottomLeft" activeCell="K25" sqref="K25"/>
    </sheetView>
  </sheetViews>
  <sheetFormatPr baseColWidth="10" defaultColWidth="8.83203125" defaultRowHeight="15"/>
  <cols>
    <col width="10" customWidth="1" min="1" max="2"/>
    <col width="45" customWidth="1" min="3" max="3"/>
    <col width="13" customWidth="1" min="4" max="4"/>
    <col width="10" customWidth="1" min="5" max="5"/>
    <col width="11" customWidth="1" min="6" max="7"/>
  </cols>
  <sheetData>
    <row r="1" ht="24" customHeight="1">
      <c r="A1" s="12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 ht="16" customHeight="1">
      <c r="A4" s="8" t="inlineStr">
        <is>
          <t>📋 MÉTADONNÉES DU SPRINT</t>
        </is>
      </c>
    </row>
    <row r="5" ht="22" customHeight="1">
      <c r="A5" s="13" t="inlineStr">
        <is>
          <t>Numéro de sprint</t>
        </is>
      </c>
      <c r="B5" s="14" t="inlineStr">
        <is>
          <t>Sprint 1</t>
        </is>
      </c>
    </row>
    <row r="6" ht="22" customHeight="1">
      <c r="A6" s="13" t="inlineStr">
        <is>
          <t>Date</t>
        </is>
      </c>
      <c r="B6" s="33" t="inlineStr">
        <is>
          <t>Lundi [29/06/2026, 14h00 à 18h00 (4 h)</t>
        </is>
      </c>
    </row>
    <row r="7" ht="22" customHeight="1">
      <c r="A7" s="13" t="inlineStr">
        <is>
          <t>Équipe (n personnes)</t>
        </is>
      </c>
      <c r="B7" s="33" t="inlineStr">
        <is>
          <t>7 personnes</t>
        </is>
      </c>
    </row>
    <row r="8" ht="22" customHeight="1">
      <c r="A8" s="13" t="inlineStr">
        <is>
          <t>Capacité totale</t>
        </is>
      </c>
      <c r="B8" s="14" t="inlineStr">
        <is>
          <t>7 × 4 h = 28 h-pers</t>
        </is>
      </c>
    </row>
    <row r="9" ht="22" customHeight="1">
      <c r="A9" s="13" t="inlineStr">
        <is>
          <t>Vélocité cible (SP)</t>
        </is>
      </c>
      <c r="B9" s="14" t="inlineStr">
        <is>
          <t>8 à 10 SP (US-01 = 3 SP, US-02 = 5 SP)</t>
        </is>
      </c>
    </row>
    <row r="10" ht="22" customHeight="1">
      <c r="A10" s="13" t="inlineStr">
        <is>
          <t>Objectif sprint</t>
        </is>
      </c>
      <c r="B10" s="14" t="inlineStr">
        <is>
          <t>Démarrer les features F1 (inscription) et F2 (upload cours), démontrable en Sprint Review 18h</t>
        </is>
      </c>
    </row>
    <row r="11" ht="22" customHeight="1">
      <c r="A11" s="13" t="inlineStr">
        <is>
          <t>Scrum Master</t>
        </is>
      </c>
      <c r="B11" s="33" t="inlineStr">
        <is>
          <t>Jason</t>
        </is>
      </c>
    </row>
    <row r="12" ht="22" customHeight="1">
      <c r="A12" s="13" t="inlineStr">
        <is>
          <t>Product Owner</t>
        </is>
      </c>
      <c r="B12" s="33" t="inlineStr">
        <is>
          <t>Abdelhadi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5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6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 ht="16" customHeight="1">
      <c r="A19" s="17" t="inlineStr">
        <is>
          <t>US</t>
        </is>
      </c>
      <c r="B19" s="17" t="inlineStr">
        <is>
          <t>ID tâche</t>
        </is>
      </c>
      <c r="C19" s="17" t="inlineStr">
        <is>
          <t>Tâche technique</t>
        </is>
      </c>
      <c r="D19" s="17" t="inlineStr">
        <is>
          <t>Assigné</t>
        </is>
      </c>
      <c r="E19" s="17" t="inlineStr">
        <is>
          <t>Estim. (h)</t>
        </is>
      </c>
      <c r="F19" s="17" t="inlineStr">
        <is>
          <t>Restant (h)</t>
        </is>
      </c>
      <c r="G19" s="17" t="inlineStr">
        <is>
          <t>Statut</t>
        </is>
      </c>
    </row>
    <row r="20" ht="30" customHeight="1">
      <c r="A20" s="18" t="inlineStr">
        <is>
          <t>US-01</t>
        </is>
      </c>
      <c r="B20" s="18" t="inlineStr">
        <is>
          <t>T-01.1</t>
        </is>
      </c>
      <c r="C20" s="19" t="inlineStr">
        <is>
          <t>Modèle User Django (extension AbstractUser) + migration</t>
        </is>
      </c>
      <c r="D20" s="35" t="inlineStr">
        <is>
          <t>Abdelhadi</t>
        </is>
      </c>
      <c r="E20" s="20" t="n">
        <v>1</v>
      </c>
      <c r="F20" s="20" t="n">
        <v>1</v>
      </c>
      <c r="G20" s="19" t="inlineStr">
        <is>
          <t>Todo</t>
        </is>
      </c>
    </row>
    <row r="21" ht="30" customHeight="1">
      <c r="A21" s="18" t="inlineStr">
        <is>
          <t>US-01</t>
        </is>
      </c>
      <c r="B21" s="18" t="inlineStr">
        <is>
          <t>T-01.2</t>
        </is>
      </c>
      <c r="C21" s="19" t="inlineStr">
        <is>
          <t>Sérialiseur DRF + endpoint POST /api/signup avec validation email + mdp ≥ 8 car</t>
        </is>
      </c>
      <c r="D21" s="35" t="inlineStr">
        <is>
          <t>Karam</t>
        </is>
      </c>
      <c r="E21" s="20" t="n">
        <v>2</v>
      </c>
      <c r="F21" s="20" t="n">
        <v>2</v>
      </c>
      <c r="G21" s="19" t="inlineStr">
        <is>
          <t>Todo</t>
        </is>
      </c>
    </row>
    <row r="22" ht="30" customHeight="1">
      <c r="A22" s="18" t="inlineStr">
        <is>
          <t>US-01</t>
        </is>
      </c>
      <c r="B22" s="18" t="inlineStr">
        <is>
          <t>T-01.3</t>
        </is>
      </c>
      <c r="C22" s="19" t="inlineStr">
        <is>
          <t>Page React /signup (formulaire + validation client + appel API + redirect)</t>
        </is>
      </c>
      <c r="D22" s="35" t="inlineStr">
        <is>
          <t>Kephren</t>
        </is>
      </c>
      <c r="E22" s="20" t="n">
        <v>3</v>
      </c>
      <c r="F22" s="20" t="n">
        <v>3</v>
      </c>
      <c r="G22" s="19" t="inlineStr">
        <is>
          <t>Todo</t>
        </is>
      </c>
    </row>
    <row r="23" ht="30" customHeight="1">
      <c r="A23" s="18" t="inlineStr">
        <is>
          <t>US-01</t>
        </is>
      </c>
      <c r="B23" s="18" t="inlineStr">
        <is>
          <t>T-01.4</t>
        </is>
      </c>
      <c r="C23" s="19" t="inlineStr">
        <is>
          <t>Tests pytest endpoint + Vitest composant React</t>
        </is>
      </c>
      <c r="D23" s="35" t="inlineStr">
        <is>
          <t>Jason</t>
        </is>
      </c>
      <c r="E23" s="20" t="n">
        <v>1</v>
      </c>
      <c r="F23" s="20" t="n">
        <v>1</v>
      </c>
      <c r="G23" s="19" t="inlineStr">
        <is>
          <t>Todo</t>
        </is>
      </c>
    </row>
    <row r="24" ht="30" customHeight="1">
      <c r="A24" s="21" t="inlineStr">
        <is>
          <t>US-02</t>
        </is>
      </c>
      <c r="B24" s="21" t="inlineStr">
        <is>
          <t>T-02.1</t>
        </is>
      </c>
      <c r="C24" s="22" t="inlineStr">
        <is>
          <t>Modèle Course Django (user FK, title, content, source) + migration</t>
        </is>
      </c>
      <c r="D24" s="22" t="inlineStr">
        <is>
          <t>Abdelhadi</t>
        </is>
      </c>
      <c r="E24" s="23" t="n">
        <v>1</v>
      </c>
      <c r="F24" s="23" t="n">
        <v>1</v>
      </c>
      <c r="G24" s="22" t="inlineStr">
        <is>
          <t>Todo</t>
        </is>
      </c>
    </row>
    <row r="25" ht="30" customHeight="1">
      <c r="A25" s="21" t="inlineStr">
        <is>
          <t>US-02</t>
        </is>
      </c>
      <c r="B25" s="21" t="inlineStr">
        <is>
          <t>T-02.2</t>
        </is>
      </c>
      <c r="C25" s="22" t="inlineStr">
        <is>
          <t>Endpoint POST /api/courses (PDF upload ≤ 5 Mo) + extraction texte (PyPDF2)</t>
        </is>
      </c>
      <c r="D25" s="32" t="inlineStr">
        <is>
          <t>Stive</t>
        </is>
      </c>
      <c r="E25" s="23" t="n">
        <v>3</v>
      </c>
      <c r="F25" s="23" t="n">
        <v>3</v>
      </c>
      <c r="G25" s="22" t="inlineStr">
        <is>
          <t>Todo</t>
        </is>
      </c>
    </row>
    <row r="26" ht="30" customHeight="1">
      <c r="A26" s="21" t="inlineStr">
        <is>
          <t>US-02</t>
        </is>
      </c>
      <c r="B26" s="21" t="inlineStr">
        <is>
          <t>T-02.3</t>
        </is>
      </c>
      <c r="C26" s="22" t="inlineStr">
        <is>
          <t>Endpoint POST /api/courses (texte ≥ 200 car) + validation</t>
        </is>
      </c>
      <c r="D26" s="32" t="inlineStr">
        <is>
          <t>Julie</t>
        </is>
      </c>
      <c r="E26" s="23" t="n">
        <v>1</v>
      </c>
      <c r="F26" s="23" t="n">
        <v>1</v>
      </c>
      <c r="G26" s="22" t="inlineStr">
        <is>
          <t>Todo</t>
        </is>
      </c>
    </row>
    <row r="27" ht="30" customHeight="1">
      <c r="A27" s="21" t="inlineStr">
        <is>
          <t>US-02</t>
        </is>
      </c>
      <c r="B27" s="21" t="inlineStr">
        <is>
          <t>T-02.4</t>
        </is>
      </c>
      <c r="C27" s="22" t="inlineStr">
        <is>
          <t>Page React /upload (dropzone + textarea + sélecteur méthode + appel API)</t>
        </is>
      </c>
      <c r="D27" s="32" t="inlineStr">
        <is>
          <t>Mathis</t>
        </is>
      </c>
      <c r="E27" s="23" t="n">
        <v>3</v>
      </c>
      <c r="F27" s="23" t="n">
        <v>3</v>
      </c>
      <c r="G27" s="22" t="inlineStr">
        <is>
          <t>Todo</t>
        </is>
      </c>
    </row>
    <row r="28" ht="30" customHeight="1">
      <c r="A28" s="21" t="inlineStr">
        <is>
          <t>US-02</t>
        </is>
      </c>
      <c r="B28" s="21" t="inlineStr">
        <is>
          <t>T-02.5</t>
        </is>
      </c>
      <c r="C28" s="22" t="inlineStr">
        <is>
          <t>Tests pytest + Vitest + ajout README section upload</t>
        </is>
      </c>
      <c r="D28" s="22" t="inlineStr">
        <is>
          <t>Jason</t>
        </is>
      </c>
      <c r="E28" s="23" t="n">
        <v>1</v>
      </c>
      <c r="F28" s="23" t="n">
        <v>1</v>
      </c>
      <c r="G28" s="22" t="inlineStr">
        <is>
          <t>Todo</t>
        </is>
      </c>
    </row>
    <row r="29">
      <c r="A29" s="24" t="inlineStr">
        <is>
          <t>TOTAL</t>
        </is>
      </c>
      <c r="B29" s="25" t="n"/>
      <c r="C29" s="36" t="inlineStr">
        <is>
          <t>16 h estimées · capacité 28 h-pers · marge 12 h pour onboarding, pair-programming, setup</t>
        </is>
      </c>
      <c r="D29" s="25" t="n"/>
      <c r="E29" s="24">
        <f>SUM(E20:E28)</f>
        <v/>
      </c>
      <c r="F29" s="24">
        <f>SUM(F20:F28)</f>
        <v/>
      </c>
      <c r="G29" s="25" t="n"/>
    </row>
    <row r="31">
      <c r="A31" s="3" t="inlineStr">
        <is>
          <t>📌 STATUTS</t>
        </is>
      </c>
    </row>
    <row r="32">
      <c r="A32" s="26" t="inlineStr">
        <is>
          <t>Todo</t>
        </is>
      </c>
      <c r="B32" s="9" t="inlineStr">
        <is>
          <t>Tâche pas encore commencée</t>
        </is>
      </c>
    </row>
    <row r="33">
      <c r="A33" s="27" t="inlineStr">
        <is>
          <t>In Progress</t>
        </is>
      </c>
      <c r="B33" s="9" t="inlineStr">
        <is>
          <t>Tâche en cours (1 seule par personne idéalement)</t>
        </is>
      </c>
    </row>
    <row r="34">
      <c r="A34" s="16" t="inlineStr">
        <is>
          <t>Blocked</t>
        </is>
      </c>
      <c r="B34" s="9" t="inlineStr">
        <is>
          <t>Tâche bloquée, à remonter en daily</t>
        </is>
      </c>
    </row>
    <row r="35">
      <c r="A35" s="15" t="inlineStr">
        <is>
          <t>Done</t>
        </is>
      </c>
      <c r="B35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E25" sqref="E25"/>
    </sheetView>
  </sheetViews>
  <sheetFormatPr baseColWidth="10" defaultColWidth="8.83203125" defaultRowHeight="15"/>
  <cols>
    <col width="28" customWidth="1" min="1" max="1"/>
    <col width="22" customWidth="1" min="2" max="3"/>
    <col width="14" customWidth="1" min="4" max="4"/>
    <col width="35" customWidth="1" min="5" max="5"/>
  </cols>
  <sheetData>
    <row r="1" ht="24" customHeight="1">
      <c r="A1" s="12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 ht="16" customHeight="1">
      <c r="A7" s="17" t="inlineStr">
        <is>
          <t>Moment du sprint</t>
        </is>
      </c>
      <c r="B7" s="17" t="inlineStr">
        <is>
          <t>Heure restante (idéal)</t>
        </is>
      </c>
      <c r="C7" s="17" t="inlineStr">
        <is>
          <t>Heure restante (réel)</t>
        </is>
      </c>
      <c r="D7" s="17" t="inlineStr">
        <is>
          <t>Δ réel-idéal</t>
        </is>
      </c>
      <c r="E7" s="17" t="inlineStr">
        <is>
          <t>Commentaire</t>
        </is>
      </c>
    </row>
    <row r="8" ht="25" customHeight="1">
      <c r="A8" s="28" t="inlineStr">
        <is>
          <t>14h00, Début sprint</t>
        </is>
      </c>
      <c r="B8" s="29" t="n">
        <v>16</v>
      </c>
      <c r="C8" s="29" t="n">
        <v>16</v>
      </c>
      <c r="D8" s="29" t="n">
        <v>0</v>
      </c>
      <c r="E8" s="14" t="inlineStr">
        <is>
          <t>Début sprint, toutes tâches en Todo</t>
        </is>
      </c>
    </row>
    <row r="9" ht="25" customHeight="1">
      <c r="A9" s="28" t="inlineStr">
        <is>
          <t>15h00, Daily intermédiaire</t>
        </is>
      </c>
      <c r="B9" s="29" t="n">
        <v>12</v>
      </c>
      <c r="C9" s="29" t="n">
        <v>13</v>
      </c>
      <c r="D9" s="29" t="n">
        <v>1</v>
      </c>
      <c r="E9" s="14" t="inlineStr">
        <is>
          <t>1/4 du sprint écoulé</t>
        </is>
      </c>
    </row>
    <row r="10" ht="25" customHeight="1">
      <c r="A10" s="28" t="inlineStr">
        <is>
          <t>16h00, Mi-sprint</t>
        </is>
      </c>
      <c r="B10" s="29" t="n">
        <v>8</v>
      </c>
      <c r="C10" s="29" t="n">
        <v>10</v>
      </c>
      <c r="D10" s="29" t="n">
        <v>2</v>
      </c>
      <c r="E10" s="14" t="inlineStr">
        <is>
          <t>Mi-sprint, point de vigilance</t>
        </is>
      </c>
    </row>
    <row r="11" ht="25" customHeight="1">
      <c r="A11" s="28" t="inlineStr">
        <is>
          <t>17h00, Avant clôture</t>
        </is>
      </c>
      <c r="B11" s="29" t="n">
        <v>4</v>
      </c>
      <c r="C11" s="29" t="n">
        <v>3</v>
      </c>
      <c r="D11" s="29" t="n">
        <v>-1</v>
      </c>
      <c r="E11" s="14" t="inlineStr">
        <is>
          <t>Dernière heure, finition tests</t>
        </is>
      </c>
    </row>
    <row r="12" ht="25" customHeight="1">
      <c r="A12" s="28" t="inlineStr">
        <is>
          <t>18h00, Fin sprint / Review</t>
        </is>
      </c>
      <c r="B12" s="29" t="n">
        <v>0</v>
      </c>
      <c r="C12" s="29" t="n">
        <v>0</v>
      </c>
      <c r="D12" s="29" t="n">
        <v>0</v>
      </c>
      <c r="E12" s="14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5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27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5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6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6" customWidth="1" min="4" max="4"/>
    <col width="11" customWidth="1" min="5" max="5"/>
    <col width="12" customWidth="1" min="6" max="6"/>
    <col width="12" customWidth="1" min="7" max="7"/>
  </cols>
  <sheetData>
    <row r="1">
      <c r="A1" s="38" t="inlineStr">
        <is>
          <t>SPRINT BACKLOG : SPRINT 2</t>
        </is>
      </c>
    </row>
    <row r="2">
      <c r="A2" s="39" t="inlineStr">
        <is>
          <t>Mardi matin 09h00 – 12h30 · 24,5 h-pers · objectif US-03 (F3) + Investigation J2 LLM</t>
        </is>
      </c>
    </row>
    <row r="4">
      <c r="A4" s="40" t="inlineStr">
        <is>
          <t>📋 MÉTADONNÉES DU SPRINT</t>
        </is>
      </c>
    </row>
    <row r="5">
      <c r="A5" s="40" t="inlineStr">
        <is>
          <t>Numéro de sprint</t>
        </is>
      </c>
      <c r="B5" s="41" t="inlineStr">
        <is>
          <t>Sprint 2</t>
        </is>
      </c>
    </row>
    <row r="6">
      <c r="A6" s="40" t="inlineStr">
        <is>
          <t>Date</t>
        </is>
      </c>
      <c r="B6" s="41" t="inlineStr">
        <is>
          <t>Mardi 30/06/2026 · 09h00 à 12h30 (3,5 h)</t>
        </is>
      </c>
    </row>
    <row r="7">
      <c r="A7" s="40" t="inlineStr">
        <is>
          <t>Équipe (n personnes)</t>
        </is>
      </c>
      <c r="B7" s="41" t="inlineStr">
        <is>
          <t>7 personnes</t>
        </is>
      </c>
    </row>
    <row r="8">
      <c r="A8" s="40" t="inlineStr">
        <is>
          <t>Capacité totale</t>
        </is>
      </c>
      <c r="B8" s="41" t="inlineStr">
        <is>
          <t>7 × 3,5 h = 24,5 h-pers</t>
        </is>
      </c>
    </row>
    <row r="9">
      <c r="A9" s="40" t="inlineStr">
        <is>
          <t>Vélocité cible (SP)</t>
        </is>
      </c>
      <c r="B9" s="41" t="inlineStr">
        <is>
          <t>8 SP (US-03) + 4h investigation J2</t>
        </is>
      </c>
    </row>
    <row r="10">
      <c r="A10" s="40" t="inlineStr">
        <is>
          <t>Objectif sprint</t>
        </is>
      </c>
      <c r="B10" s="41" t="inlineStr">
        <is>
          <t>Générer 10 QCM via LLM (US-03 / F3) ET décider du fournisseur LLM suite à la perturbation J2 (latence 45s)</t>
        </is>
      </c>
    </row>
    <row r="11">
      <c r="A11" s="40" t="inlineStr">
        <is>
          <t>Scrum Master</t>
        </is>
      </c>
      <c r="B11" s="41" t="inlineStr">
        <is>
          <t>Jason DAHMOUN</t>
        </is>
      </c>
    </row>
    <row r="12">
      <c r="A12" s="40" t="inlineStr">
        <is>
          <t>Product Owner</t>
        </is>
      </c>
      <c r="B12" s="41" t="inlineStr">
        <is>
          <t>Abdelhadi MOUMOU</t>
        </is>
      </c>
    </row>
    <row r="14">
      <c r="A14" s="42" t="inlineStr">
        <is>
          <t>US</t>
        </is>
      </c>
      <c r="B14" s="42" t="inlineStr">
        <is>
          <t>ID tâche</t>
        </is>
      </c>
      <c r="C14" s="42" t="inlineStr">
        <is>
          <t>Tâche technique</t>
        </is>
      </c>
      <c r="D14" s="42" t="inlineStr">
        <is>
          <t>Assigné</t>
        </is>
      </c>
      <c r="E14" s="42" t="inlineStr">
        <is>
          <t>Estim. (h)</t>
        </is>
      </c>
      <c r="F14" s="42" t="inlineStr">
        <is>
          <t>Restant (h)</t>
        </is>
      </c>
      <c r="G14" s="42" t="inlineStr">
        <is>
          <t>Statut</t>
        </is>
      </c>
    </row>
    <row r="15">
      <c r="A15" s="43" t="inlineStr">
        <is>
          <t>⚡ INVESTIGATION J2 — Latence LLM (perturbation 10h00)</t>
        </is>
      </c>
    </row>
    <row r="16">
      <c r="A16" s="44" t="inlineStr">
        <is>
          <t>J2</t>
        </is>
      </c>
      <c r="B16" s="45" t="inlineStr">
        <is>
          <t>T-J2.1</t>
        </is>
      </c>
      <c r="C16" s="44" t="inlineStr">
        <is>
          <t>Lancer script benchmark-llm.py · 5 runs sur llama3.1:8b + phi3:mini · noter latences p50/p95 et qualité /5</t>
        </is>
      </c>
      <c r="D16" s="44" t="inlineStr">
        <is>
          <t>Karam</t>
        </is>
      </c>
      <c r="E16" s="44" t="n">
        <v>1</v>
      </c>
      <c r="F16" s="44" t="n">
        <v>1</v>
      </c>
      <c r="G16" s="44" t="inlineStr">
        <is>
          <t>Todo</t>
        </is>
      </c>
    </row>
    <row r="17">
      <c r="A17" s="44" t="inlineStr">
        <is>
          <t>J2</t>
        </is>
      </c>
      <c r="B17" s="45" t="inlineStr">
        <is>
          <t>T-J2.2</t>
        </is>
      </c>
      <c r="C17" s="44" t="inlineStr">
        <is>
          <t>Pull modèle phi3:mini dans Ollama Docker + valider génération quiz (5 tests manuels)</t>
        </is>
      </c>
      <c r="D17" s="44" t="inlineStr">
        <is>
          <t>Abdelhadi</t>
        </is>
      </c>
      <c r="E17" s="44" t="n">
        <v>1</v>
      </c>
      <c r="F17" s="44" t="n">
        <v>1</v>
      </c>
      <c r="G17" s="44" t="inlineStr">
        <is>
          <t>Todo</t>
        </is>
      </c>
    </row>
    <row r="18">
      <c r="A18" s="44" t="inlineStr">
        <is>
          <t>J2</t>
        </is>
      </c>
      <c r="B18" s="45" t="inlineStr">
        <is>
          <t>T-J2.3</t>
        </is>
      </c>
      <c r="C18" s="44" t="inlineStr">
        <is>
          <t>Mettre à jour .env.example : OLLAMA_MODEL=phi3:mini + commenter la décision (ADR-001)</t>
        </is>
      </c>
      <c r="D18" s="44" t="inlineStr">
        <is>
          <t>Stive</t>
        </is>
      </c>
      <c r="E18" s="44" t="n">
        <v>0.5</v>
      </c>
      <c r="F18" s="44" t="n">
        <v>0.5</v>
      </c>
      <c r="G18" s="44" t="inlineStr">
        <is>
          <t>Todo</t>
        </is>
      </c>
    </row>
    <row r="19">
      <c r="A19" s="44" t="inlineStr">
        <is>
          <t>J2</t>
        </is>
      </c>
      <c r="B19" s="45" t="inlineStr">
        <is>
          <t>T-J2.4</t>
        </is>
      </c>
      <c r="C19" s="44" t="inlineStr">
        <is>
          <t>Tests de régression : 3 quiz générés avec phi3:mini · vérifier qualité JSON + 10 questions valides</t>
        </is>
      </c>
      <c r="D19" s="44" t="inlineStr">
        <is>
          <t>Jason</t>
        </is>
      </c>
      <c r="E19" s="44" t="n">
        <v>1</v>
      </c>
      <c r="F19" s="44" t="n">
        <v>1</v>
      </c>
      <c r="G19" s="44" t="inlineStr">
        <is>
          <t>Todo</t>
        </is>
      </c>
    </row>
    <row r="20">
      <c r="A20" s="45" t="inlineStr">
        <is>
          <t>Sous-total J2 · 3,5 h estimées</t>
        </is>
      </c>
      <c r="E20" s="45" t="n">
        <v>3.5</v>
      </c>
      <c r="F20" s="45" t="n">
        <v>3.5</v>
      </c>
    </row>
    <row r="22">
      <c r="A22" s="46" t="inlineStr">
        <is>
          <t>🎯 US-03 — F3 Génération automatique de 10 QCM (MUST · 8 SP)</t>
        </is>
      </c>
    </row>
    <row r="23">
      <c r="A23" s="44" t="inlineStr">
        <is>
          <t>US-03</t>
        </is>
      </c>
      <c r="B23" s="45" t="inlineStr">
        <is>
          <t>T-03.1</t>
        </is>
      </c>
      <c r="C23" s="44" t="inlineStr">
        <is>
          <t>Modèles Django Quiz et Question (FK vers Course, texte, options JSON, correct_index) + migration</t>
        </is>
      </c>
      <c r="D23" s="44" t="inlineStr">
        <is>
          <t>Abdelhadi</t>
        </is>
      </c>
      <c r="E23" s="44" t="n">
        <v>2</v>
      </c>
      <c r="F23" s="44" t="n">
        <v>2</v>
      </c>
      <c r="G23" s="44" t="inlineStr">
        <is>
          <t>Todo</t>
        </is>
      </c>
    </row>
    <row r="24">
      <c r="A24" s="44" t="inlineStr">
        <is>
          <t>US-03</t>
        </is>
      </c>
      <c r="B24" s="45" t="inlineStr">
        <is>
          <t>T-03.2</t>
        </is>
      </c>
      <c r="C24" s="44" t="inlineStr">
        <is>
          <t>Service LLM : intégration phi3:mini via OllamaClient + quiz_prompt.py · validation JSON strict</t>
        </is>
      </c>
      <c r="D24" s="44" t="inlineStr">
        <is>
          <t>Karam</t>
        </is>
      </c>
      <c r="E24" s="44" t="n">
        <v>3</v>
      </c>
      <c r="F24" s="44" t="n">
        <v>3</v>
      </c>
      <c r="G24" s="44" t="inlineStr">
        <is>
          <t>Todo</t>
        </is>
      </c>
    </row>
    <row r="25">
      <c r="A25" s="44" t="inlineStr">
        <is>
          <t>US-03</t>
        </is>
      </c>
      <c r="B25" s="45" t="inlineStr">
        <is>
          <t>T-03.3</t>
        </is>
      </c>
      <c r="C25" s="44" t="inlineStr">
        <is>
          <t>Endpoint POST /api/quiz/generate · parsing réponse LLM · gestion erreurs (retry, timeout)</t>
        </is>
      </c>
      <c r="D25" s="44" t="inlineStr">
        <is>
          <t>Julie</t>
        </is>
      </c>
      <c r="E25" s="44" t="n">
        <v>3</v>
      </c>
      <c r="F25" s="44" t="n">
        <v>3</v>
      </c>
      <c r="G25" s="44" t="inlineStr">
        <is>
          <t>Todo</t>
        </is>
      </c>
    </row>
    <row r="26">
      <c r="A26" s="44" t="inlineStr">
        <is>
          <t>US-03</t>
        </is>
      </c>
      <c r="B26" s="45" t="inlineStr">
        <is>
          <t>T-03.4</t>
        </is>
      </c>
      <c r="C26" s="44" t="inlineStr">
        <is>
          <t>Page React /quiz · rendu 10 questions · état local des sélections · barre de progression génération</t>
        </is>
      </c>
      <c r="D26" s="44" t="inlineStr">
        <is>
          <t>Kephren</t>
        </is>
      </c>
      <c r="E26" s="44" t="n">
        <v>3</v>
      </c>
      <c r="F26" s="44" t="n">
        <v>3</v>
      </c>
      <c r="G26" s="44" t="inlineStr">
        <is>
          <t>Todo</t>
        </is>
      </c>
    </row>
    <row r="27">
      <c r="A27" s="44" t="inlineStr">
        <is>
          <t>US-03</t>
        </is>
      </c>
      <c r="B27" s="45" t="inlineStr">
        <is>
          <t>T-03.5</t>
        </is>
      </c>
      <c r="C27" s="44" t="inlineStr">
        <is>
          <t>Tests pytest (mock Ollama) + Vitest interface génération · CI verte</t>
        </is>
      </c>
      <c r="D27" s="44" t="inlineStr">
        <is>
          <t>Jason</t>
        </is>
      </c>
      <c r="E27" s="44" t="n">
        <v>2</v>
      </c>
      <c r="F27" s="44" t="n">
        <v>2</v>
      </c>
      <c r="G27" s="44" t="inlineStr">
        <is>
          <t>Todo</t>
        </is>
      </c>
    </row>
    <row r="28">
      <c r="A28" s="45" t="inlineStr">
        <is>
          <t>Sous-total US-03 · 13 h estimées</t>
        </is>
      </c>
      <c r="E28" s="45" t="n">
        <v>13</v>
      </c>
      <c r="F28" s="45" t="n">
        <v>13</v>
      </c>
    </row>
    <row r="29">
      <c r="A29" s="47" t="inlineStr">
        <is>
          <t>TOTAL Sprint 2 · 16,5 h estimées · capacité 24,5 h-pers · marge 8 h</t>
        </is>
      </c>
      <c r="E29" s="40" t="n">
        <v>16.5</v>
      </c>
      <c r="F29" s="40" t="n">
        <v>16.5</v>
      </c>
    </row>
  </sheetData>
  <mergeCells count="16">
    <mergeCell ref="B10:G10"/>
    <mergeCell ref="A1:G1"/>
    <mergeCell ref="B5:G5"/>
    <mergeCell ref="A22:G22"/>
    <mergeCell ref="A20:D20"/>
    <mergeCell ref="B9:G9"/>
    <mergeCell ref="A4:G4"/>
    <mergeCell ref="B8:G8"/>
    <mergeCell ref="A29:D29"/>
    <mergeCell ref="A2:G2"/>
    <mergeCell ref="B12:G12"/>
    <mergeCell ref="A15:G15"/>
    <mergeCell ref="A28:D28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C20" sqref="C20"/>
    </sheetView>
  </sheetViews>
  <sheetFormatPr baseColWidth="10" defaultColWidth="8.8320312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9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 ht="16" customHeight="1">
      <c r="A5" s="17" t="n"/>
      <c r="B5" s="17" t="inlineStr">
        <is>
          <t>Critère qualité</t>
        </is>
      </c>
      <c r="C5" s="17" t="inlineStr">
        <is>
          <t>Auto-évaluation</t>
        </is>
      </c>
      <c r="D5" t="inlineStr">
        <is>
          <t>Commentaire / preuve</t>
        </is>
      </c>
    </row>
    <row r="6" ht="30" customHeight="1">
      <c r="B6" s="30" t="inlineStr">
        <is>
          <t>Métadonnées sprint complètes (numéro, date, équipe, capacité, vélocité cible, objectif, SM/PO)</t>
        </is>
      </c>
      <c r="C6" s="31" t="inlineStr">
        <is>
          <t>☒ Oui   ☐ Partiel   ☐ Non</t>
        </is>
      </c>
      <c r="D6" s="30" t="n"/>
    </row>
    <row r="7" ht="30" customHeight="1">
      <c r="B7" s="30" t="inlineStr">
        <is>
          <t>Stories engagées tirées du Product Backlog avec leur ID (US-XX)</t>
        </is>
      </c>
      <c r="C7" s="31" t="inlineStr">
        <is>
          <t>☒ Oui   ☐ Partiel   ☐ Non</t>
        </is>
      </c>
      <c r="D7" s="30" t="n"/>
    </row>
    <row r="8" ht="30" customHeight="1">
      <c r="B8" s="30" t="inlineStr">
        <is>
          <t>Chaque story est décomposée en 3-5 tâches techniques atomiques (1-3 h chacune)</t>
        </is>
      </c>
      <c r="C8" s="31" t="inlineStr">
        <is>
          <t>☒ Oui   ☐ Partiel   ☐ Non</t>
        </is>
      </c>
      <c r="D8" s="30" t="n"/>
    </row>
    <row r="9" ht="30" customHeight="1">
      <c r="B9" s="30" t="inlineStr">
        <is>
          <t>Chaque tâche a un ID (T-XX.Y) et un libellé clair et actionnable</t>
        </is>
      </c>
      <c r="C9" s="31" t="inlineStr">
        <is>
          <t>☒ Oui   ☐ Partiel   ☐ Non</t>
        </is>
      </c>
      <c r="D9" s="30" t="n"/>
    </row>
    <row r="10" ht="30" customHeight="1">
      <c r="B10" s="30" t="inlineStr">
        <is>
          <t>Chaque tâche est assignée à une personne (pas de tâche orpheline)</t>
        </is>
      </c>
      <c r="C10" s="31" t="inlineStr">
        <is>
          <t>☒ Oui   ☐ Partiel   ☐ Non</t>
        </is>
      </c>
      <c r="D10" s="30" t="n"/>
    </row>
    <row r="11" ht="30" customHeight="1">
      <c r="B11" s="30" t="inlineStr">
        <is>
          <t>Estimation horaire totale ≤ capacité du sprint (marge raisonnable conservée)</t>
        </is>
      </c>
      <c r="C11" s="31" t="inlineStr">
        <is>
          <t>☒ Oui   ☐ Partiel   ☐ Non</t>
        </is>
      </c>
      <c r="D11" s="30" t="n"/>
    </row>
    <row r="12" ht="30" customHeight="1">
      <c r="B12" s="30" t="inlineStr">
        <is>
          <t>Burndown initialisé avec heures idéales par moment du sprint</t>
        </is>
      </c>
      <c r="C12" s="31" t="inlineStr">
        <is>
          <t>☒ Oui   ☐ Partiel   ☐ Non</t>
        </is>
      </c>
      <c r="D12" s="30" t="n"/>
    </row>
    <row r="13" ht="30" customHeight="1">
      <c r="B13" s="30" t="inlineStr">
        <is>
          <t>Burndown mis à jour à chaque daily (colonne Réel renseignée)</t>
        </is>
      </c>
      <c r="C13" s="31" t="inlineStr">
        <is>
          <t>☒ Oui   ☐ Partiel   ☐ Non</t>
        </is>
      </c>
      <c r="D13" s="30" t="n"/>
    </row>
    <row r="14" ht="30" customHeight="1">
      <c r="B14" s="30" t="inlineStr">
        <is>
          <t>Sprint Review programmée en fin de sprint avec démo PO</t>
        </is>
      </c>
      <c r="C14" s="31" t="inlineStr">
        <is>
          <t>☒ Oui   ☐ Partiel   ☐ Non</t>
        </is>
      </c>
      <c r="D14" s="30" t="n"/>
    </row>
    <row r="15" ht="30" customHeight="1">
      <c r="B15" s="30" t="inlineStr">
        <is>
          <t>Le Sprint Backlog a été co-construit en Sprint Planning (toutes les voix entendues)</t>
        </is>
      </c>
      <c r="C15" s="31" t="inlineStr">
        <is>
          <t>☒ Oui   ☐ Partiel   ☐ Non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2026-06-30T10:01:48Z</dcterms:modified>
  <cp:lastModifiedBy>Microsoft Office User</cp:lastModifiedBy>
</cp:coreProperties>
</file>